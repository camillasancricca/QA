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a/Desktop/Tesi/tapas_models_nq_tables/risposte/"/>
    </mc:Choice>
  </mc:AlternateContent>
  <xr:revisionPtr revIDLastSave="0" documentId="13_ncr:1_{D77EE725-0465-4D46-8EF9-0E365526DAFC}" xr6:coauthVersionLast="47" xr6:coauthVersionMax="47" xr10:uidLastSave="{00000000-0000-0000-0000-000000000000}"/>
  <bookViews>
    <workbookView xWindow="180" yWindow="500" windowWidth="28620" windowHeight="15540" xr2:uid="{923EF5F2-1CB8-8A4C-A48E-2657B9C04FC2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4" i="1" l="1"/>
  <c r="E203" i="1"/>
  <c r="E202" i="1"/>
  <c r="E200" i="1"/>
  <c r="E199" i="1"/>
  <c r="E198" i="1"/>
  <c r="E196" i="1"/>
  <c r="E195" i="1"/>
  <c r="E194" i="1"/>
  <c r="E192" i="1"/>
  <c r="E191" i="1"/>
  <c r="E190" i="1"/>
  <c r="E188" i="1"/>
  <c r="E187" i="1"/>
  <c r="E186" i="1"/>
  <c r="C204" i="1"/>
  <c r="C203" i="1"/>
  <c r="C202" i="1"/>
  <c r="C200" i="1"/>
  <c r="C199" i="1"/>
  <c r="C198" i="1"/>
  <c r="C196" i="1"/>
  <c r="C195" i="1"/>
  <c r="C194" i="1"/>
  <c r="C192" i="1"/>
  <c r="C191" i="1"/>
  <c r="C190" i="1"/>
  <c r="C188" i="1"/>
  <c r="C187" i="1"/>
  <c r="C186" i="1"/>
  <c r="B19" i="2"/>
  <c r="B17" i="2"/>
  <c r="B15" i="2"/>
  <c r="B11" i="2"/>
  <c r="B9" i="2"/>
  <c r="B7" i="2"/>
  <c r="B6" i="2"/>
  <c r="D159" i="1"/>
  <c r="D160" i="1"/>
  <c r="D161" i="1"/>
  <c r="D163" i="1"/>
  <c r="D164" i="1"/>
  <c r="D165" i="1"/>
  <c r="D167" i="1"/>
  <c r="D168" i="1"/>
  <c r="D169" i="1"/>
  <c r="D171" i="1"/>
  <c r="D172" i="1"/>
  <c r="D173" i="1"/>
  <c r="D175" i="1"/>
  <c r="D176" i="1"/>
  <c r="D177" i="1"/>
  <c r="D157" i="1"/>
  <c r="I133" i="1"/>
  <c r="I134" i="1"/>
  <c r="I135" i="1"/>
  <c r="I137" i="1"/>
  <c r="J137" i="1" s="1"/>
  <c r="I138" i="1"/>
  <c r="I139" i="1"/>
  <c r="I141" i="1"/>
  <c r="I142" i="1"/>
  <c r="I143" i="1"/>
  <c r="I145" i="1"/>
  <c r="I146" i="1"/>
  <c r="I147" i="1"/>
  <c r="I149" i="1"/>
  <c r="I150" i="1"/>
  <c r="I151" i="1"/>
  <c r="H133" i="1"/>
  <c r="H134" i="1"/>
  <c r="H135" i="1"/>
  <c r="H137" i="1"/>
  <c r="H138" i="1"/>
  <c r="H139" i="1"/>
  <c r="H141" i="1"/>
  <c r="H142" i="1"/>
  <c r="J142" i="1" s="1"/>
  <c r="H143" i="1"/>
  <c r="H145" i="1"/>
  <c r="H146" i="1"/>
  <c r="H147" i="1"/>
  <c r="H149" i="1"/>
  <c r="J149" i="1" s="1"/>
  <c r="H150" i="1"/>
  <c r="H151" i="1"/>
  <c r="I131" i="1"/>
  <c r="H131" i="1"/>
  <c r="J151" i="1"/>
  <c r="J150" i="1"/>
  <c r="J145" i="1"/>
  <c r="J141" i="1"/>
  <c r="J135" i="1"/>
  <c r="J134" i="1"/>
  <c r="J133" i="1"/>
  <c r="J131" i="1"/>
  <c r="BP107" i="1"/>
  <c r="BP108" i="1"/>
  <c r="BP109" i="1"/>
  <c r="BP111" i="1"/>
  <c r="BP112" i="1"/>
  <c r="BP113" i="1"/>
  <c r="BP115" i="1"/>
  <c r="BP116" i="1"/>
  <c r="BP117" i="1"/>
  <c r="BP119" i="1"/>
  <c r="BP120" i="1"/>
  <c r="BP121" i="1"/>
  <c r="BP123" i="1"/>
  <c r="BP124" i="1"/>
  <c r="BP125" i="1"/>
  <c r="BP105" i="1"/>
  <c r="J125" i="1"/>
  <c r="J124" i="1"/>
  <c r="J123" i="1"/>
  <c r="J121" i="1"/>
  <c r="J120" i="1"/>
  <c r="J119" i="1"/>
  <c r="J117" i="1"/>
  <c r="J116" i="1"/>
  <c r="J115" i="1"/>
  <c r="J113" i="1"/>
  <c r="J112" i="1"/>
  <c r="J111" i="1"/>
  <c r="J109" i="1"/>
  <c r="J108" i="1"/>
  <c r="J107" i="1"/>
  <c r="J105" i="1"/>
  <c r="J100" i="1"/>
  <c r="J99" i="1"/>
  <c r="J98" i="1"/>
  <c r="J96" i="1"/>
  <c r="J95" i="1"/>
  <c r="J94" i="1"/>
  <c r="J92" i="1"/>
  <c r="J91" i="1"/>
  <c r="J90" i="1"/>
  <c r="J88" i="1"/>
  <c r="J87" i="1"/>
  <c r="J86" i="1"/>
  <c r="J84" i="1"/>
  <c r="J83" i="1"/>
  <c r="J82" i="1"/>
  <c r="J80" i="1"/>
  <c r="J74" i="1"/>
  <c r="J73" i="1"/>
  <c r="J72" i="1"/>
  <c r="J70" i="1"/>
  <c r="J69" i="1"/>
  <c r="J68" i="1"/>
  <c r="J66" i="1"/>
  <c r="J65" i="1"/>
  <c r="J64" i="1"/>
  <c r="J62" i="1"/>
  <c r="J61" i="1"/>
  <c r="J60" i="1"/>
  <c r="J58" i="1"/>
  <c r="J57" i="1"/>
  <c r="J56" i="1"/>
  <c r="J54" i="1"/>
  <c r="J49" i="1"/>
  <c r="J48" i="1"/>
  <c r="J47" i="1"/>
  <c r="J45" i="1"/>
  <c r="J44" i="1"/>
  <c r="J43" i="1"/>
  <c r="J41" i="1"/>
  <c r="J40" i="1"/>
  <c r="J39" i="1"/>
  <c r="J37" i="1"/>
  <c r="J36" i="1"/>
  <c r="J35" i="1"/>
  <c r="J33" i="1"/>
  <c r="J32" i="1"/>
  <c r="J31" i="1"/>
  <c r="J29" i="1"/>
  <c r="B151" i="1"/>
  <c r="B137" i="1"/>
  <c r="B145" i="1"/>
  <c r="B146" i="1"/>
  <c r="B147" i="1"/>
  <c r="B149" i="1"/>
  <c r="B150" i="1"/>
  <c r="B134" i="1"/>
  <c r="B135" i="1"/>
  <c r="B138" i="1"/>
  <c r="B139" i="1"/>
  <c r="B141" i="1"/>
  <c r="B142" i="1"/>
  <c r="B143" i="1"/>
  <c r="C134" i="1"/>
  <c r="C135" i="1"/>
  <c r="C137" i="1"/>
  <c r="C138" i="1"/>
  <c r="C139" i="1"/>
  <c r="C141" i="1"/>
  <c r="D141" i="1" s="1"/>
  <c r="C142" i="1"/>
  <c r="C143" i="1"/>
  <c r="D143" i="1" s="1"/>
  <c r="C145" i="1"/>
  <c r="C146" i="1"/>
  <c r="C147" i="1"/>
  <c r="C149" i="1"/>
  <c r="C150" i="1"/>
  <c r="C151" i="1"/>
  <c r="C133" i="1"/>
  <c r="B133" i="1"/>
  <c r="C131" i="1"/>
  <c r="B131" i="1"/>
  <c r="D125" i="1"/>
  <c r="D124" i="1"/>
  <c r="D123" i="1"/>
  <c r="D121" i="1"/>
  <c r="D120" i="1"/>
  <c r="D119" i="1"/>
  <c r="D117" i="1"/>
  <c r="D116" i="1"/>
  <c r="D115" i="1"/>
  <c r="D113" i="1"/>
  <c r="D112" i="1"/>
  <c r="D111" i="1"/>
  <c r="D109" i="1"/>
  <c r="D108" i="1"/>
  <c r="D107" i="1"/>
  <c r="D105" i="1"/>
  <c r="D98" i="1"/>
  <c r="D96" i="1"/>
  <c r="D95" i="1"/>
  <c r="D91" i="1"/>
  <c r="D100" i="1"/>
  <c r="D99" i="1"/>
  <c r="D94" i="1"/>
  <c r="D92" i="1"/>
  <c r="D90" i="1"/>
  <c r="D88" i="1"/>
  <c r="D87" i="1"/>
  <c r="D86" i="1"/>
  <c r="D84" i="1"/>
  <c r="D83" i="1"/>
  <c r="D82" i="1"/>
  <c r="D80" i="1"/>
  <c r="D54" i="1"/>
  <c r="D61" i="1"/>
  <c r="D74" i="1"/>
  <c r="D73" i="1"/>
  <c r="D72" i="1"/>
  <c r="D70" i="1"/>
  <c r="D69" i="1"/>
  <c r="D68" i="1"/>
  <c r="D66" i="1"/>
  <c r="D65" i="1"/>
  <c r="D64" i="1"/>
  <c r="D62" i="1"/>
  <c r="D60" i="1"/>
  <c r="D58" i="1"/>
  <c r="D57" i="1"/>
  <c r="D56" i="1"/>
  <c r="D49" i="1"/>
  <c r="D48" i="1"/>
  <c r="D47" i="1"/>
  <c r="D45" i="1"/>
  <c r="D44" i="1"/>
  <c r="D43" i="1"/>
  <c r="D41" i="1"/>
  <c r="D40" i="1"/>
  <c r="D39" i="1"/>
  <c r="D37" i="1"/>
  <c r="D36" i="1"/>
  <c r="D35" i="1"/>
  <c r="D33" i="1"/>
  <c r="D32" i="1"/>
  <c r="D31" i="1"/>
  <c r="D29" i="1"/>
  <c r="J24" i="1"/>
  <c r="J23" i="1"/>
  <c r="J22" i="1"/>
  <c r="J20" i="1"/>
  <c r="J19" i="1"/>
  <c r="J18" i="1"/>
  <c r="J16" i="1"/>
  <c r="J15" i="1"/>
  <c r="J14" i="1"/>
  <c r="J12" i="1"/>
  <c r="J11" i="1"/>
  <c r="J10" i="1"/>
  <c r="J8" i="1"/>
  <c r="J7" i="1"/>
  <c r="J6" i="1"/>
  <c r="J4" i="1"/>
  <c r="D6" i="1"/>
  <c r="D7" i="1"/>
  <c r="D8" i="1"/>
  <c r="D10" i="1"/>
  <c r="D11" i="1"/>
  <c r="D12" i="1"/>
  <c r="D14" i="1"/>
  <c r="D15" i="1"/>
  <c r="D16" i="1"/>
  <c r="D18" i="1"/>
  <c r="D19" i="1"/>
  <c r="D20" i="1"/>
  <c r="D22" i="1"/>
  <c r="D23" i="1"/>
  <c r="D24" i="1"/>
  <c r="D4" i="1"/>
  <c r="J143" i="1" l="1"/>
  <c r="J146" i="1"/>
  <c r="J147" i="1"/>
  <c r="J139" i="1"/>
  <c r="J138" i="1"/>
  <c r="D150" i="1"/>
  <c r="D135" i="1"/>
  <c r="D133" i="1"/>
  <c r="D151" i="1"/>
  <c r="D139" i="1"/>
  <c r="D134" i="1"/>
  <c r="D145" i="1"/>
  <c r="D142" i="1"/>
  <c r="D138" i="1"/>
  <c r="D137" i="1"/>
  <c r="D146" i="1"/>
  <c r="D147" i="1"/>
  <c r="D149" i="1"/>
  <c r="D131" i="1"/>
</calcChain>
</file>

<file path=xl/sharedStrings.xml><?xml version="1.0" encoding="utf-8"?>
<sst xmlns="http://schemas.openxmlformats.org/spreadsheetml/2006/main" count="1690" uniqueCount="553">
  <si>
    <t>&gt; Accuracy completeness 50%</t>
  </si>
  <si>
    <t>&gt; Accuracy completeness 90%</t>
  </si>
  <si>
    <t>&gt; Accuracy completeness 70%</t>
  </si>
  <si>
    <t>&gt; Accuracy typos_accuracy 90%</t>
  </si>
  <si>
    <t>&gt; Accuracy typos_accuracy 70%</t>
  </si>
  <si>
    <t>&gt; Accuracy typos_accuracy 50%</t>
  </si>
  <si>
    <t>&gt; Accuracy outliers_accuracy 90%</t>
  </si>
  <si>
    <t>&gt; Accuracy outliers_accuracy 70%</t>
  </si>
  <si>
    <t>&gt; Accuracy outliers_accuracy 50%</t>
  </si>
  <si>
    <t>&gt; Accuracy duplication 90%</t>
  </si>
  <si>
    <t>&gt; Accuracy duplication 70%</t>
  </si>
  <si>
    <t>&gt; Accuracy duplication 50%</t>
  </si>
  <si>
    <t>Dirtiness</t>
  </si>
  <si>
    <t>Correct</t>
  </si>
  <si>
    <t>Total</t>
  </si>
  <si>
    <t>%</t>
  </si>
  <si>
    <t xml:space="preserve">&gt; Accuracy Clean </t>
  </si>
  <si>
    <t>35/69</t>
  </si>
  <si>
    <t>107/207</t>
  </si>
  <si>
    <t>79/207</t>
  </si>
  <si>
    <t>74/207</t>
  </si>
  <si>
    <t>140/207</t>
  </si>
  <si>
    <t>137/207</t>
  </si>
  <si>
    <t>91/207</t>
  </si>
  <si>
    <t>122/207</t>
  </si>
  <si>
    <t xml:space="preserve"> 102/207</t>
  </si>
  <si>
    <t>121/207</t>
  </si>
  <si>
    <t>126/207</t>
  </si>
  <si>
    <t>129/207</t>
  </si>
  <si>
    <t>124/207</t>
  </si>
  <si>
    <t>133/207</t>
  </si>
  <si>
    <t>64/135</t>
  </si>
  <si>
    <t>195/405</t>
  </si>
  <si>
    <t>164/405</t>
  </si>
  <si>
    <t>88/405</t>
  </si>
  <si>
    <t>229/405</t>
  </si>
  <si>
    <t>217/405</t>
  </si>
  <si>
    <t>172/405</t>
  </si>
  <si>
    <t>206/405</t>
  </si>
  <si>
    <t>213/405</t>
  </si>
  <si>
    <t>199/405</t>
  </si>
  <si>
    <t>244/405</t>
  </si>
  <si>
    <t>198/405</t>
  </si>
  <si>
    <t>214/405</t>
  </si>
  <si>
    <t>211/405</t>
  </si>
  <si>
    <t>186/405</t>
  </si>
  <si>
    <t>151/405</t>
  </si>
  <si>
    <t>193/306</t>
  </si>
  <si>
    <t>519/918</t>
  </si>
  <si>
    <t>300/918</t>
  </si>
  <si>
    <t>248/918</t>
  </si>
  <si>
    <t>529/918</t>
  </si>
  <si>
    <t>443/918</t>
  </si>
  <si>
    <t>341/918</t>
  </si>
  <si>
    <t>608/918</t>
  </si>
  <si>
    <t>588/918</t>
  </si>
  <si>
    <t>586/918</t>
  </si>
  <si>
    <t>499/918</t>
  </si>
  <si>
    <t>447/918</t>
  </si>
  <si>
    <t>371/918</t>
  </si>
  <si>
    <t>459/918</t>
  </si>
  <si>
    <t>38/50</t>
  </si>
  <si>
    <t>102/150</t>
  </si>
  <si>
    <t>67/150</t>
  </si>
  <si>
    <t>39/150</t>
  </si>
  <si>
    <t>112/150</t>
  </si>
  <si>
    <t>103/150</t>
  </si>
  <si>
    <t>89/150</t>
  </si>
  <si>
    <t>100/150</t>
  </si>
  <si>
    <t>96/150</t>
  </si>
  <si>
    <t>101/150</t>
  </si>
  <si>
    <t>115/150</t>
  </si>
  <si>
    <t>108/150</t>
  </si>
  <si>
    <t>113/150</t>
  </si>
  <si>
    <t>104/150</t>
  </si>
  <si>
    <t>76/150</t>
  </si>
  <si>
    <t>25/49</t>
  </si>
  <si>
    <t>77/147</t>
  </si>
  <si>
    <t>67/147</t>
  </si>
  <si>
    <t>28/147</t>
  </si>
  <si>
    <t>85/147</t>
  </si>
  <si>
    <t>78/147</t>
  </si>
  <si>
    <t>56/147</t>
  </si>
  <si>
    <t>73/147</t>
  </si>
  <si>
    <t>83/147</t>
  </si>
  <si>
    <t xml:space="preserve"> 78/147</t>
  </si>
  <si>
    <t>80/147</t>
  </si>
  <si>
    <t>66/147</t>
  </si>
  <si>
    <t>60/147</t>
  </si>
  <si>
    <t>52/90</t>
  </si>
  <si>
    <t>138/270</t>
  </si>
  <si>
    <t>112/270</t>
  </si>
  <si>
    <t>104/167</t>
  </si>
  <si>
    <t>265/501</t>
  </si>
  <si>
    <t>76/110</t>
  </si>
  <si>
    <t>185/336</t>
  </si>
  <si>
    <t>44/70</t>
  </si>
  <si>
    <t>9/18</t>
  </si>
  <si>
    <t>21/54</t>
  </si>
  <si>
    <t>18/54</t>
  </si>
  <si>
    <t>24/54</t>
  </si>
  <si>
    <t>23/54</t>
  </si>
  <si>
    <t>27/54</t>
  </si>
  <si>
    <t>28/54</t>
  </si>
  <si>
    <t>33/54</t>
  </si>
  <si>
    <t>32/54</t>
  </si>
  <si>
    <t>26/54</t>
  </si>
  <si>
    <t>PROBLEMI GEMINI</t>
  </si>
  <si>
    <t xml:space="preserve">Tabella </t>
  </si>
  <si>
    <t>Tipologia</t>
  </si>
  <si>
    <t>clean</t>
  </si>
  <si>
    <t>descrizione</t>
  </si>
  <si>
    <t>mancano le ultime 2 domande</t>
  </si>
  <si>
    <t>66/262</t>
  </si>
  <si>
    <t>140/270</t>
  </si>
  <si>
    <t>133/270</t>
  </si>
  <si>
    <t>91/270</t>
  </si>
  <si>
    <t>153/270</t>
  </si>
  <si>
    <t>147/270</t>
  </si>
  <si>
    <t>151/270</t>
  </si>
  <si>
    <t>157/270</t>
  </si>
  <si>
    <t>155/270</t>
  </si>
  <si>
    <t>105/270</t>
  </si>
  <si>
    <t>137/270</t>
  </si>
  <si>
    <t>148/270</t>
  </si>
  <si>
    <t>521/914</t>
  </si>
  <si>
    <t>478/914</t>
  </si>
  <si>
    <t>208/494</t>
  </si>
  <si>
    <t>114/500</t>
  </si>
  <si>
    <t>305/501</t>
  </si>
  <si>
    <t>266/501</t>
  </si>
  <si>
    <t>250/501</t>
  </si>
  <si>
    <t>306/501</t>
  </si>
  <si>
    <t>294/501</t>
  </si>
  <si>
    <t xml:space="preserve">286/501 </t>
  </si>
  <si>
    <t>311/501</t>
  </si>
  <si>
    <t>300/501</t>
  </si>
  <si>
    <t>284/501</t>
  </si>
  <si>
    <t>247/501</t>
  </si>
  <si>
    <t>234/501</t>
  </si>
  <si>
    <t>123/330</t>
  </si>
  <si>
    <t>101/336</t>
  </si>
  <si>
    <t>224/334</t>
  </si>
  <si>
    <t>198/336</t>
  </si>
  <si>
    <t>157/336</t>
  </si>
  <si>
    <t>227/336</t>
  </si>
  <si>
    <t>223/336</t>
  </si>
  <si>
    <t>195/333</t>
  </si>
  <si>
    <t>229/329</t>
  </si>
  <si>
    <t>252/336</t>
  </si>
  <si>
    <t>248/336</t>
  </si>
  <si>
    <t>208/336</t>
  </si>
  <si>
    <t>201/336</t>
  </si>
  <si>
    <t>173/336</t>
  </si>
  <si>
    <t>94/210</t>
  </si>
  <si>
    <t>87/210</t>
  </si>
  <si>
    <t>61/210</t>
  </si>
  <si>
    <t>114/210</t>
  </si>
  <si>
    <t>93/210</t>
  </si>
  <si>
    <t>81/210</t>
  </si>
  <si>
    <t>113/210</t>
  </si>
  <si>
    <t>116/210</t>
  </si>
  <si>
    <t>102/210</t>
  </si>
  <si>
    <t>103/210</t>
  </si>
  <si>
    <t>121/210</t>
  </si>
  <si>
    <t>123/210</t>
  </si>
  <si>
    <t>100/210</t>
  </si>
  <si>
    <t xml:space="preserve"> 92/210</t>
  </si>
  <si>
    <t>77/112</t>
  </si>
  <si>
    <t>WR</t>
  </si>
  <si>
    <t>esito</t>
  </si>
  <si>
    <t xml:space="preserve">outliers accuracy 90% seed 1 </t>
  </si>
  <si>
    <t>outliers accuracy 70% seed 0</t>
  </si>
  <si>
    <t>mancano le ultime 4 domande</t>
  </si>
  <si>
    <t>Accuracy completeness 50% seed 2</t>
  </si>
  <si>
    <t>Accuracy completeness 50% seed 0</t>
  </si>
  <si>
    <t>mancano le ultime 8 domande</t>
  </si>
  <si>
    <t>Accuracy completeness 70% seed 1</t>
  </si>
  <si>
    <t>mancano le ultime 7 domande</t>
  </si>
  <si>
    <t>manca l'ulitma domanda</t>
  </si>
  <si>
    <t>Esito prima gruppo</t>
  </si>
  <si>
    <t>4 non date</t>
  </si>
  <si>
    <t>RRRRRRRR</t>
  </si>
  <si>
    <t>74/270</t>
  </si>
  <si>
    <t>Accuracy outliers_accuracy 50% seed 0</t>
  </si>
  <si>
    <t>mancano le ultime 3 domande</t>
  </si>
  <si>
    <t>mancano le ultime 6 domande</t>
  </si>
  <si>
    <t>Accuracy completeness 70% seed 0</t>
  </si>
  <si>
    <t>WWWWWWW</t>
  </si>
  <si>
    <t>208/501</t>
  </si>
  <si>
    <t>W</t>
  </si>
  <si>
    <t>114/501</t>
  </si>
  <si>
    <t>Accuracy typos_accuracy 90% seed 2</t>
  </si>
  <si>
    <t>Accuracy duplication 90% seed 1</t>
  </si>
  <si>
    <t xml:space="preserve">RRR </t>
  </si>
  <si>
    <t>mancano le ultime 5 domande</t>
  </si>
  <si>
    <t>RWWWWW</t>
  </si>
  <si>
    <t>124/336</t>
  </si>
  <si>
    <t>225/336</t>
  </si>
  <si>
    <t>RWWRW</t>
  </si>
  <si>
    <t>232/336</t>
  </si>
  <si>
    <t>CHAT GPT 0_100</t>
  </si>
  <si>
    <t>CHAT GPT 101_150</t>
  </si>
  <si>
    <t>CHAT GPT 151_200</t>
  </si>
  <si>
    <t>Interruzione dopo tabella 9:</t>
  </si>
  <si>
    <t>Interruzione dopo tabella 2:</t>
  </si>
  <si>
    <t>CHAT GPT 201_250</t>
  </si>
  <si>
    <t>CHAT GPT 251_327</t>
  </si>
  <si>
    <t>CHAT GPT TOTALE</t>
  </si>
  <si>
    <t>GEMINI 0_100</t>
  </si>
  <si>
    <t>26/42</t>
  </si>
  <si>
    <t>65/126</t>
  </si>
  <si>
    <t>46/126</t>
  </si>
  <si>
    <t>42/126</t>
  </si>
  <si>
    <t>75/126</t>
  </si>
  <si>
    <t>58/126</t>
  </si>
  <si>
    <t>74/126</t>
  </si>
  <si>
    <t>70/126</t>
  </si>
  <si>
    <t>71/126</t>
  </si>
  <si>
    <t>82/126</t>
  </si>
  <si>
    <t>79/126</t>
  </si>
  <si>
    <t>78/126</t>
  </si>
  <si>
    <t>66/126</t>
  </si>
  <si>
    <t>55/126</t>
  </si>
  <si>
    <t>18/24</t>
  </si>
  <si>
    <t>49/72</t>
  </si>
  <si>
    <t>34/72</t>
  </si>
  <si>
    <t>32/72</t>
  </si>
  <si>
    <t>45/72</t>
  </si>
  <si>
    <t>54/72</t>
  </si>
  <si>
    <t>38/72</t>
  </si>
  <si>
    <t>58/72</t>
  </si>
  <si>
    <t>55/72</t>
  </si>
  <si>
    <t>52/72</t>
  </si>
  <si>
    <t>50/72</t>
  </si>
  <si>
    <t>41/72</t>
  </si>
  <si>
    <t>46/72</t>
  </si>
  <si>
    <t>24/72</t>
  </si>
  <si>
    <t>5/72</t>
  </si>
  <si>
    <t xml:space="preserve"> 46/72</t>
  </si>
  <si>
    <t xml:space="preserve"> 42/72</t>
  </si>
  <si>
    <t>35/72</t>
  </si>
  <si>
    <t>48/72</t>
  </si>
  <si>
    <t>47/72</t>
  </si>
  <si>
    <t>44/72</t>
  </si>
  <si>
    <t>37/72</t>
  </si>
  <si>
    <t>15/24</t>
  </si>
  <si>
    <t xml:space="preserve"> 35/72</t>
  </si>
  <si>
    <t>26/72</t>
  </si>
  <si>
    <t>17/72</t>
  </si>
  <si>
    <t>27/72</t>
  </si>
  <si>
    <t>23/72</t>
  </si>
  <si>
    <t>40/72</t>
  </si>
  <si>
    <t>39/72</t>
  </si>
  <si>
    <t>30/72</t>
  </si>
  <si>
    <t>36/72</t>
  </si>
  <si>
    <t>42/72</t>
  </si>
  <si>
    <t>29/72</t>
  </si>
  <si>
    <t>16/24</t>
  </si>
  <si>
    <t>43/72</t>
  </si>
  <si>
    <t>51/72</t>
  </si>
  <si>
    <t>14/22</t>
  </si>
  <si>
    <t>39/66</t>
  </si>
  <si>
    <t>32/66</t>
  </si>
  <si>
    <t>24/66</t>
  </si>
  <si>
    <t>43/66</t>
  </si>
  <si>
    <t>26/66</t>
  </si>
  <si>
    <t>42/66</t>
  </si>
  <si>
    <t>38/66</t>
  </si>
  <si>
    <t>41/66</t>
  </si>
  <si>
    <t>40/66</t>
  </si>
  <si>
    <t>33/66</t>
  </si>
  <si>
    <t>11/20</t>
  </si>
  <si>
    <t>29/60</t>
  </si>
  <si>
    <t>14/60</t>
  </si>
  <si>
    <t>16/60</t>
  </si>
  <si>
    <t>31/60</t>
  </si>
  <si>
    <t>26/60</t>
  </si>
  <si>
    <t>15/60</t>
  </si>
  <si>
    <t>30/60</t>
  </si>
  <si>
    <t>32/60</t>
  </si>
  <si>
    <t>13/20</t>
  </si>
  <si>
    <t>41/60</t>
  </si>
  <si>
    <t>34/60</t>
  </si>
  <si>
    <t>42/60</t>
  </si>
  <si>
    <t>24/60</t>
  </si>
  <si>
    <t>37/60</t>
  </si>
  <si>
    <t>40/60</t>
  </si>
  <si>
    <t>44/60</t>
  </si>
  <si>
    <t>46/60</t>
  </si>
  <si>
    <t>38/60</t>
  </si>
  <si>
    <t>13/15</t>
  </si>
  <si>
    <t>5/5</t>
  </si>
  <si>
    <t>11/15</t>
  </si>
  <si>
    <t>6/15</t>
  </si>
  <si>
    <t>15/15</t>
  </si>
  <si>
    <t>10/15</t>
  </si>
  <si>
    <t>12/15</t>
  </si>
  <si>
    <t>2/15</t>
  </si>
  <si>
    <t>8/10</t>
  </si>
  <si>
    <t>20/30</t>
  </si>
  <si>
    <t>17/30</t>
  </si>
  <si>
    <t>18/30</t>
  </si>
  <si>
    <t>21/30</t>
  </si>
  <si>
    <t>23/30</t>
  </si>
  <si>
    <t>24/30</t>
  </si>
  <si>
    <t>10/20</t>
  </si>
  <si>
    <t>28/60</t>
  </si>
  <si>
    <t>25/60</t>
  </si>
  <si>
    <t>13/60</t>
  </si>
  <si>
    <t>23/60</t>
  </si>
  <si>
    <t>19/60</t>
  </si>
  <si>
    <t>27/60</t>
  </si>
  <si>
    <t>33/60</t>
  </si>
  <si>
    <t>40/45</t>
  </si>
  <si>
    <t>31/45</t>
  </si>
  <si>
    <t>17/45</t>
  </si>
  <si>
    <t>36/45</t>
  </si>
  <si>
    <t>34/45</t>
  </si>
  <si>
    <t>25/45</t>
  </si>
  <si>
    <t>39/45</t>
  </si>
  <si>
    <t>38/45</t>
  </si>
  <si>
    <t>37/45</t>
  </si>
  <si>
    <t>3/5</t>
  </si>
  <si>
    <t>9/15</t>
  </si>
  <si>
    <t>3/15</t>
  </si>
  <si>
    <t>GEMINI 101_150</t>
  </si>
  <si>
    <t>GEMINI 151_200</t>
  </si>
  <si>
    <t>27/45</t>
  </si>
  <si>
    <t>22/45</t>
  </si>
  <si>
    <t>35/45</t>
  </si>
  <si>
    <t>16/20</t>
  </si>
  <si>
    <t>39/60</t>
  </si>
  <si>
    <t>48/60</t>
  </si>
  <si>
    <t>43/60</t>
  </si>
  <si>
    <t>35/60</t>
  </si>
  <si>
    <t>36/60</t>
  </si>
  <si>
    <t xml:space="preserve"> 36/60</t>
  </si>
  <si>
    <t>21/60</t>
  </si>
  <si>
    <t>11/25</t>
  </si>
  <si>
    <t>37/75</t>
  </si>
  <si>
    <t>26/75</t>
  </si>
  <si>
    <t>10/75</t>
  </si>
  <si>
    <t>36/75</t>
  </si>
  <si>
    <t>28/75</t>
  </si>
  <si>
    <t>24/75</t>
  </si>
  <si>
    <t>31/75</t>
  </si>
  <si>
    <t>34/75</t>
  </si>
  <si>
    <t>39/75</t>
  </si>
  <si>
    <t>38/75</t>
  </si>
  <si>
    <t>19/20</t>
  </si>
  <si>
    <t>47/60</t>
  </si>
  <si>
    <t>57/60</t>
  </si>
  <si>
    <t>50/60</t>
  </si>
  <si>
    <t>51/60</t>
  </si>
  <si>
    <t>9/20</t>
  </si>
  <si>
    <t xml:space="preserve"> 13/60</t>
  </si>
  <si>
    <t>9/60</t>
  </si>
  <si>
    <t>20/60</t>
  </si>
  <si>
    <t>8/15</t>
  </si>
  <si>
    <t>7/15</t>
  </si>
  <si>
    <t>14/15</t>
  </si>
  <si>
    <t>14/20</t>
  </si>
  <si>
    <t>22/60</t>
  </si>
  <si>
    <t>20/59</t>
  </si>
  <si>
    <t>45/60</t>
  </si>
  <si>
    <t>4/5</t>
  </si>
  <si>
    <t>4/15</t>
  </si>
  <si>
    <t xml:space="preserve"> 6/15</t>
  </si>
  <si>
    <t>17/60</t>
  </si>
  <si>
    <t>11/18</t>
  </si>
  <si>
    <t>16/54</t>
  </si>
  <si>
    <t>12/54</t>
  </si>
  <si>
    <t>25/54</t>
  </si>
  <si>
    <t>30/54</t>
  </si>
  <si>
    <t>20/54</t>
  </si>
  <si>
    <t>manca 1 domanda</t>
  </si>
  <si>
    <t>&gt; Accuracy semantic_accuracy 90%</t>
  </si>
  <si>
    <t xml:space="preserve">&gt; Accuracy semantic_accuracy 70% </t>
  </si>
  <si>
    <t xml:space="preserve">&gt; Accuracy semantic_accuracy 50% </t>
  </si>
  <si>
    <t>GEMINI 200_250</t>
  </si>
  <si>
    <t>14/16</t>
  </si>
  <si>
    <t>33/48</t>
  </si>
  <si>
    <t>11/48</t>
  </si>
  <si>
    <t>7/48</t>
  </si>
  <si>
    <t>37/48</t>
  </si>
  <si>
    <t>26/48</t>
  </si>
  <si>
    <t>31/48</t>
  </si>
  <si>
    <t>32/48</t>
  </si>
  <si>
    <t>28/48</t>
  </si>
  <si>
    <t>24/48</t>
  </si>
  <si>
    <t>25/48</t>
  </si>
  <si>
    <t>19/48</t>
  </si>
  <si>
    <t>27/48</t>
  </si>
  <si>
    <t>4/4</t>
  </si>
  <si>
    <t>11/12</t>
  </si>
  <si>
    <t>7/12</t>
  </si>
  <si>
    <t>1/12</t>
  </si>
  <si>
    <t>6/12</t>
  </si>
  <si>
    <t>12/12</t>
  </si>
  <si>
    <t>9/12</t>
  </si>
  <si>
    <t>8/12</t>
  </si>
  <si>
    <t>4/12</t>
  </si>
  <si>
    <t>6/8</t>
  </si>
  <si>
    <t>10/24</t>
  </si>
  <si>
    <t>11/24</t>
  </si>
  <si>
    <t>17/24</t>
  </si>
  <si>
    <t>11/16</t>
  </si>
  <si>
    <t>15/48</t>
  </si>
  <si>
    <t>23/48</t>
  </si>
  <si>
    <t>17/48</t>
  </si>
  <si>
    <t>30/48</t>
  </si>
  <si>
    <t>29/48</t>
  </si>
  <si>
    <t>2/4</t>
  </si>
  <si>
    <t>5/12</t>
  </si>
  <si>
    <t>2/9</t>
  </si>
  <si>
    <t>10/12</t>
  </si>
  <si>
    <t>3/12</t>
  </si>
  <si>
    <t>18/36</t>
  </si>
  <si>
    <t>15/36</t>
  </si>
  <si>
    <t>10/36</t>
  </si>
  <si>
    <t>25/36</t>
  </si>
  <si>
    <t>17/36</t>
  </si>
  <si>
    <t>13/36</t>
  </si>
  <si>
    <t>24/36</t>
  </si>
  <si>
    <t>19/36</t>
  </si>
  <si>
    <t>21/36</t>
  </si>
  <si>
    <t>23/36</t>
  </si>
  <si>
    <t>26/36</t>
  </si>
  <si>
    <t>10/16</t>
  </si>
  <si>
    <t>9/48</t>
  </si>
  <si>
    <t>34/48</t>
  </si>
  <si>
    <t>35/48</t>
  </si>
  <si>
    <t>36/48</t>
  </si>
  <si>
    <t>18/48</t>
  </si>
  <si>
    <t>0/4</t>
  </si>
  <si>
    <t>2/12</t>
  </si>
  <si>
    <t>0/12</t>
  </si>
  <si>
    <t>12/24</t>
  </si>
  <si>
    <t>8/22</t>
  </si>
  <si>
    <t>6/24</t>
  </si>
  <si>
    <t>13/24</t>
  </si>
  <si>
    <t>5/24</t>
  </si>
  <si>
    <t>14/24</t>
  </si>
  <si>
    <t>19/24</t>
  </si>
  <si>
    <t>13/16</t>
  </si>
  <si>
    <t>16/48</t>
  </si>
  <si>
    <t>13/48</t>
  </si>
  <si>
    <t>38/48</t>
  </si>
  <si>
    <t>8/48</t>
  </si>
  <si>
    <t>22/48</t>
  </si>
  <si>
    <t>21/48</t>
  </si>
  <si>
    <t>20/48</t>
  </si>
  <si>
    <t>29/47</t>
  </si>
  <si>
    <t>40/47</t>
  </si>
  <si>
    <t>39/48</t>
  </si>
  <si>
    <t>3/4</t>
  </si>
  <si>
    <t xml:space="preserve">13/23 </t>
  </si>
  <si>
    <t>214</t>
  </si>
  <si>
    <t>Accuracy typos_accuracy 50% seed 0</t>
  </si>
  <si>
    <t>mancano 3 domande</t>
  </si>
  <si>
    <t>215</t>
  </si>
  <si>
    <t xml:space="preserve">4/10 </t>
  </si>
  <si>
    <t>Accuracy duplication 70% seed 0 e 1</t>
  </si>
  <si>
    <t>mancano 2 domande</t>
  </si>
  <si>
    <t xml:space="preserve">8/11 </t>
  </si>
  <si>
    <t>Accuracy duplication 50% seed 1</t>
  </si>
  <si>
    <t>224</t>
  </si>
  <si>
    <t>Accuracy completeness 70% seed 2</t>
  </si>
  <si>
    <t>236</t>
  </si>
  <si>
    <t>Accuracy outliers_accuracy 50% seed 2</t>
  </si>
  <si>
    <t>GEMINI 251_327</t>
  </si>
  <si>
    <t>2-6-10-13-16-19-27-31-35-39-43-47-51-55-59-65-68-69-72-77</t>
  </si>
  <si>
    <t>4/8</t>
  </si>
  <si>
    <t>9/24</t>
  </si>
  <si>
    <t>7/24</t>
  </si>
  <si>
    <t>12/16</t>
  </si>
  <si>
    <t>5/16</t>
  </si>
  <si>
    <t>14/48</t>
  </si>
  <si>
    <t>6/36</t>
  </si>
  <si>
    <t>20/36</t>
  </si>
  <si>
    <t>14/36</t>
  </si>
  <si>
    <t>22/36</t>
  </si>
  <si>
    <t>12/36</t>
  </si>
  <si>
    <t>16/36</t>
  </si>
  <si>
    <t>9/36</t>
  </si>
  <si>
    <t>34/36</t>
  </si>
  <si>
    <t>28/36</t>
  </si>
  <si>
    <t>35/36</t>
  </si>
  <si>
    <t>29/36</t>
  </si>
  <si>
    <t>36/36</t>
  </si>
  <si>
    <t>25/32</t>
  </si>
  <si>
    <t>71/96</t>
  </si>
  <si>
    <t>58/96</t>
  </si>
  <si>
    <t>29/96</t>
  </si>
  <si>
    <t>73/96</t>
  </si>
  <si>
    <t>62/96</t>
  </si>
  <si>
    <t>56/96</t>
  </si>
  <si>
    <t>76/96</t>
  </si>
  <si>
    <t>69/96</t>
  </si>
  <si>
    <t>74/96</t>
  </si>
  <si>
    <t>61/96</t>
  </si>
  <si>
    <t>51/96</t>
  </si>
  <si>
    <t>35/47</t>
  </si>
  <si>
    <t>36/46</t>
  </si>
  <si>
    <t>15/16</t>
  </si>
  <si>
    <t>42/48</t>
  </si>
  <si>
    <t>40/48</t>
  </si>
  <si>
    <t>45/48</t>
  </si>
  <si>
    <t>43/48</t>
  </si>
  <si>
    <t>44/48</t>
  </si>
  <si>
    <t>9/16</t>
  </si>
  <si>
    <t>12/48</t>
  </si>
  <si>
    <t>15/47</t>
  </si>
  <si>
    <t>41/48</t>
  </si>
  <si>
    <t>37/47</t>
  </si>
  <si>
    <t>40/71</t>
  </si>
  <si>
    <t>33/72</t>
  </si>
  <si>
    <t>21/72</t>
  </si>
  <si>
    <t>31/72</t>
  </si>
  <si>
    <t>16/72</t>
  </si>
  <si>
    <t>27/36</t>
  </si>
  <si>
    <t xml:space="preserve"> 30/59</t>
  </si>
  <si>
    <t>7/60</t>
  </si>
  <si>
    <t>Accuracy duplication 90% seed 2</t>
  </si>
  <si>
    <t xml:space="preserve">manca 1 domanda </t>
  </si>
  <si>
    <t>304</t>
  </si>
  <si>
    <t>Accuracy typos_accuracy 50% seed 2</t>
  </si>
  <si>
    <t>Accuracy outliers_accuracy 50% seed 1</t>
  </si>
  <si>
    <t>307</t>
  </si>
  <si>
    <t>Accuracy completeness 90% seed 2</t>
  </si>
  <si>
    <t>WWW</t>
  </si>
  <si>
    <t>WW</t>
  </si>
  <si>
    <t>RW</t>
  </si>
  <si>
    <t xml:space="preserve">R </t>
  </si>
  <si>
    <t>R</t>
  </si>
  <si>
    <t xml:space="preserve">WWWW </t>
  </si>
  <si>
    <t>521/918</t>
  </si>
  <si>
    <t>478/918</t>
  </si>
  <si>
    <t>Accuracy outliers_accuracy 50% seed 0 (2) e 1 (1)</t>
  </si>
  <si>
    <t>RWW</t>
  </si>
  <si>
    <t xml:space="preserve">RW </t>
  </si>
  <si>
    <t xml:space="preserve"> 30/60</t>
  </si>
  <si>
    <t>Confronto</t>
  </si>
  <si>
    <t>GPT</t>
  </si>
  <si>
    <t>GEMINI</t>
  </si>
  <si>
    <t>DIFF</t>
  </si>
  <si>
    <t>DIRTINESS</t>
  </si>
  <si>
    <t>7/11</t>
  </si>
  <si>
    <t>NUMERO DI RISPOSTE NON DATE</t>
  </si>
  <si>
    <t>RISPOSTE RIGENERATE</t>
  </si>
  <si>
    <t>WRONG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</si>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</sst>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0"/>
      <color rgb="FF8C8C8C"/>
      <name val="JetBrains Mono"/>
      <family val="3"/>
    </font>
    <font>
      <b/>
      <sz val="12"/>
      <color theme="0"/>
      <name val="Aptos Narrow (Corpo)"/>
    </font>
    <font>
      <sz val="12"/>
      <color rgb="FF92D050"/>
      <name val="Aptos Narrow"/>
      <family val="2"/>
      <scheme val="minor"/>
    </font>
    <font>
      <sz val="12"/>
      <color rgb="FF92D050"/>
      <name val="Aptos Display (Intestazioni)"/>
    </font>
    <font>
      <sz val="12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1" borderId="0" xfId="0" applyFill="1"/>
    <xf numFmtId="2" fontId="0" fillId="0" borderId="0" xfId="0" applyNumberFormat="1"/>
    <xf numFmtId="12" fontId="0" fillId="0" borderId="0" xfId="0" applyNumberFormat="1"/>
    <xf numFmtId="0" fontId="4" fillId="0" borderId="0" xfId="0" applyFont="1"/>
    <xf numFmtId="0" fontId="5" fillId="0" borderId="0" xfId="0" applyFont="1"/>
    <xf numFmtId="16" fontId="0" fillId="0" borderId="0" xfId="0" applyNumberFormat="1"/>
    <xf numFmtId="49" fontId="0" fillId="2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49" fontId="0" fillId="3" borderId="0" xfId="0" applyNumberFormat="1" applyFill="1"/>
    <xf numFmtId="49" fontId="0" fillId="12" borderId="0" xfId="0" applyNumberFormat="1" applyFill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/>
    <xf numFmtId="0" fontId="6" fillId="0" borderId="0" xfId="0" applyFont="1" applyAlignment="1">
      <alignment horizontal="center"/>
    </xf>
    <xf numFmtId="0" fontId="7" fillId="0" borderId="0" xfId="0" applyFont="1"/>
    <xf numFmtId="0" fontId="0" fillId="4" borderId="0" xfId="0" applyFill="1"/>
    <xf numFmtId="0" fontId="8" fillId="0" borderId="0" xfId="0" applyFont="1" applyAlignment="1">
      <alignment horizontal="center"/>
    </xf>
    <xf numFmtId="0" fontId="9" fillId="2" borderId="0" xfId="0" applyFont="1" applyFill="1"/>
    <xf numFmtId="0" fontId="0" fillId="0" borderId="0" xfId="0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CE1F-AEFC-664B-B029-55B31080BD13}">
  <dimension ref="A2:BP210"/>
  <sheetViews>
    <sheetView tabSelected="1" topLeftCell="A174" zoomScale="88" zoomScaleNormal="125" workbookViewId="0">
      <selection activeCell="E227" sqref="E227"/>
    </sheetView>
  </sheetViews>
  <sheetFormatPr baseColWidth="10" defaultRowHeight="16"/>
  <cols>
    <col min="1" max="1" width="34.33203125" customWidth="1"/>
    <col min="3" max="3" width="11.1640625" bestFit="1" customWidth="1"/>
    <col min="4" max="4" width="14.6640625" customWidth="1"/>
    <col min="5" max="5" width="15.1640625" customWidth="1"/>
    <col min="6" max="6" width="14" customWidth="1"/>
    <col min="7" max="7" width="29" customWidth="1"/>
    <col min="8" max="8" width="11.33203125" customWidth="1"/>
    <col min="10" max="10" width="16.5" customWidth="1"/>
    <col min="25" max="25" width="11.6640625" customWidth="1"/>
    <col min="26" max="28" width="11.5" customWidth="1"/>
    <col min="29" max="29" width="11.83203125" customWidth="1"/>
    <col min="30" max="32" width="11.5" customWidth="1"/>
    <col min="33" max="33" width="18.6640625" customWidth="1"/>
    <col min="34" max="34" width="45.83203125" customWidth="1"/>
    <col min="35" max="35" width="41.1640625" customWidth="1"/>
    <col min="36" max="36" width="27.5" customWidth="1"/>
    <col min="37" max="37" width="21.83203125" customWidth="1"/>
  </cols>
  <sheetData>
    <row r="2" spans="1:37">
      <c r="A2" s="45" t="s">
        <v>201</v>
      </c>
      <c r="B2" s="45"/>
      <c r="C2" s="45"/>
      <c r="D2" s="45"/>
      <c r="G2" s="46" t="s">
        <v>209</v>
      </c>
      <c r="H2" s="46"/>
      <c r="I2" s="46"/>
      <c r="J2" s="46"/>
      <c r="AG2" s="6" t="s">
        <v>107</v>
      </c>
      <c r="AH2" s="7"/>
      <c r="AI2" s="7"/>
      <c r="AJ2" s="7"/>
      <c r="AK2" s="7"/>
    </row>
    <row r="3" spans="1:37">
      <c r="A3" s="1" t="s">
        <v>12</v>
      </c>
      <c r="B3" s="1" t="s">
        <v>13</v>
      </c>
      <c r="C3" s="1" t="s">
        <v>14</v>
      </c>
      <c r="D3" s="1" t="s">
        <v>15</v>
      </c>
      <c r="G3" s="1" t="s">
        <v>12</v>
      </c>
      <c r="H3" s="1" t="s">
        <v>13</v>
      </c>
      <c r="I3" s="1" t="s">
        <v>14</v>
      </c>
      <c r="J3" s="1" t="s">
        <v>15</v>
      </c>
      <c r="L3">
        <v>2</v>
      </c>
      <c r="M3">
        <v>8</v>
      </c>
      <c r="N3">
        <v>29</v>
      </c>
      <c r="O3">
        <v>34</v>
      </c>
      <c r="P3">
        <v>39</v>
      </c>
      <c r="Q3">
        <v>49</v>
      </c>
      <c r="R3">
        <v>70</v>
      </c>
      <c r="S3">
        <v>86</v>
      </c>
      <c r="T3">
        <v>97</v>
      </c>
      <c r="U3">
        <v>100</v>
      </c>
      <c r="AG3" s="4" t="s">
        <v>108</v>
      </c>
      <c r="AH3" s="4" t="s">
        <v>109</v>
      </c>
      <c r="AI3" s="4" t="s">
        <v>111</v>
      </c>
      <c r="AJ3" s="4" t="s">
        <v>170</v>
      </c>
      <c r="AK3" s="4" t="s">
        <v>180</v>
      </c>
    </row>
    <row r="4" spans="1:37">
      <c r="A4" t="s">
        <v>16</v>
      </c>
      <c r="B4">
        <v>751</v>
      </c>
      <c r="C4">
        <v>1066</v>
      </c>
      <c r="D4">
        <f>B4/C4*100</f>
        <v>70.450281425891177</v>
      </c>
      <c r="G4" t="s">
        <v>16</v>
      </c>
      <c r="H4">
        <v>641</v>
      </c>
      <c r="I4">
        <v>1066</v>
      </c>
      <c r="J4">
        <f>H4/I4*100</f>
        <v>60.131332082551594</v>
      </c>
      <c r="L4" t="s">
        <v>17</v>
      </c>
      <c r="M4" t="s">
        <v>31</v>
      </c>
      <c r="N4" t="s">
        <v>47</v>
      </c>
      <c r="O4" t="s">
        <v>61</v>
      </c>
      <c r="P4" t="s">
        <v>76</v>
      </c>
      <c r="Q4" t="s">
        <v>89</v>
      </c>
      <c r="R4" t="s">
        <v>92</v>
      </c>
      <c r="S4" s="3" t="s">
        <v>168</v>
      </c>
      <c r="T4" t="s">
        <v>96</v>
      </c>
      <c r="U4" s="2" t="s">
        <v>97</v>
      </c>
      <c r="AG4" s="9">
        <v>79</v>
      </c>
      <c r="AH4" t="s">
        <v>110</v>
      </c>
      <c r="AI4" t="s">
        <v>112</v>
      </c>
      <c r="AJ4" t="s">
        <v>169</v>
      </c>
      <c r="AK4" t="s">
        <v>94</v>
      </c>
    </row>
    <row r="5" spans="1:37">
      <c r="AG5" s="12">
        <v>22</v>
      </c>
      <c r="AH5" t="s">
        <v>171</v>
      </c>
      <c r="AI5" t="s">
        <v>173</v>
      </c>
      <c r="AJ5" s="10" t="s">
        <v>536</v>
      </c>
      <c r="AK5" t="s">
        <v>126</v>
      </c>
    </row>
    <row r="6" spans="1:37">
      <c r="A6" t="s">
        <v>1</v>
      </c>
      <c r="B6">
        <v>2084</v>
      </c>
      <c r="C6">
        <v>3198</v>
      </c>
      <c r="D6">
        <f t="shared" ref="D6:D24" si="0">B6/C6*100</f>
        <v>65.165728580362725</v>
      </c>
      <c r="G6" t="s">
        <v>1</v>
      </c>
      <c r="H6">
        <v>1694</v>
      </c>
      <c r="I6">
        <v>3198</v>
      </c>
      <c r="J6">
        <f t="shared" ref="J6:J8" si="1">H6/I6*100</f>
        <v>52.970606629143212</v>
      </c>
      <c r="L6" t="s">
        <v>18</v>
      </c>
      <c r="M6" t="s">
        <v>32</v>
      </c>
      <c r="N6" t="s">
        <v>48</v>
      </c>
      <c r="O6" t="s">
        <v>62</v>
      </c>
      <c r="P6" t="s">
        <v>77</v>
      </c>
      <c r="Q6" t="s">
        <v>90</v>
      </c>
      <c r="R6" t="s">
        <v>93</v>
      </c>
      <c r="S6" t="s">
        <v>95</v>
      </c>
      <c r="T6" t="s">
        <v>154</v>
      </c>
      <c r="U6" t="s">
        <v>98</v>
      </c>
      <c r="AG6" s="12">
        <v>22</v>
      </c>
      <c r="AH6" t="s">
        <v>172</v>
      </c>
      <c r="AI6" t="s">
        <v>173</v>
      </c>
      <c r="AJ6" s="10" t="s">
        <v>536</v>
      </c>
      <c r="AK6" t="s">
        <v>125</v>
      </c>
    </row>
    <row r="7" spans="1:37">
      <c r="A7" t="s">
        <v>2</v>
      </c>
      <c r="B7">
        <v>1564</v>
      </c>
      <c r="C7">
        <v>3198</v>
      </c>
      <c r="D7">
        <f t="shared" si="0"/>
        <v>48.905565978736711</v>
      </c>
      <c r="G7" t="s">
        <v>2</v>
      </c>
      <c r="H7">
        <v>1229</v>
      </c>
      <c r="I7">
        <v>3198</v>
      </c>
      <c r="J7">
        <f t="shared" si="1"/>
        <v>38.430268918073793</v>
      </c>
      <c r="L7" t="s">
        <v>19</v>
      </c>
      <c r="M7" t="s">
        <v>33</v>
      </c>
      <c r="N7" t="s">
        <v>49</v>
      </c>
      <c r="O7" t="s">
        <v>63</v>
      </c>
      <c r="P7" t="s">
        <v>78</v>
      </c>
      <c r="Q7" t="s">
        <v>91</v>
      </c>
      <c r="R7" s="15" t="s">
        <v>189</v>
      </c>
      <c r="S7" s="19" t="s">
        <v>197</v>
      </c>
      <c r="T7" t="s">
        <v>155</v>
      </c>
      <c r="U7" t="s">
        <v>98</v>
      </c>
      <c r="AG7" s="14">
        <v>43</v>
      </c>
      <c r="AH7" t="s">
        <v>175</v>
      </c>
      <c r="AI7" t="s">
        <v>176</v>
      </c>
      <c r="AJ7" t="s">
        <v>182</v>
      </c>
      <c r="AK7" t="s">
        <v>113</v>
      </c>
    </row>
    <row r="8" spans="1:37">
      <c r="A8" t="s">
        <v>0</v>
      </c>
      <c r="B8">
        <v>1211</v>
      </c>
      <c r="C8">
        <v>3198</v>
      </c>
      <c r="D8">
        <f t="shared" si="0"/>
        <v>37.867417135709822</v>
      </c>
      <c r="G8" t="s">
        <v>0</v>
      </c>
      <c r="H8">
        <v>845</v>
      </c>
      <c r="I8">
        <v>3198</v>
      </c>
      <c r="J8">
        <f t="shared" si="1"/>
        <v>26.422764227642276</v>
      </c>
      <c r="L8" t="s">
        <v>20</v>
      </c>
      <c r="M8" t="s">
        <v>34</v>
      </c>
      <c r="N8" t="s">
        <v>50</v>
      </c>
      <c r="O8" t="s">
        <v>64</v>
      </c>
      <c r="P8" t="s">
        <v>79</v>
      </c>
      <c r="Q8" s="13" t="s">
        <v>183</v>
      </c>
      <c r="R8" s="15" t="s">
        <v>191</v>
      </c>
      <c r="S8" t="s">
        <v>141</v>
      </c>
      <c r="T8" t="s">
        <v>156</v>
      </c>
      <c r="U8" t="s">
        <v>99</v>
      </c>
      <c r="AG8" s="16">
        <v>50</v>
      </c>
      <c r="AH8" t="s">
        <v>177</v>
      </c>
      <c r="AI8" t="s">
        <v>178</v>
      </c>
      <c r="AJ8" t="s">
        <v>188</v>
      </c>
      <c r="AK8" t="s">
        <v>127</v>
      </c>
    </row>
    <row r="9" spans="1:37">
      <c r="AG9" s="16">
        <v>50</v>
      </c>
      <c r="AH9" t="s">
        <v>174</v>
      </c>
      <c r="AI9" t="s">
        <v>179</v>
      </c>
      <c r="AJ9" t="s">
        <v>190</v>
      </c>
      <c r="AK9" t="s">
        <v>128</v>
      </c>
    </row>
    <row r="10" spans="1:37">
      <c r="A10" t="s">
        <v>3</v>
      </c>
      <c r="B10">
        <v>2170</v>
      </c>
      <c r="C10">
        <v>3198</v>
      </c>
      <c r="D10">
        <f t="shared" si="0"/>
        <v>67.854909318323948</v>
      </c>
      <c r="G10" t="s">
        <v>3</v>
      </c>
      <c r="H10">
        <v>1903</v>
      </c>
      <c r="I10">
        <v>3198</v>
      </c>
      <c r="J10">
        <f t="shared" ref="J10:J12" si="2">H10/I10*100</f>
        <v>59.505941213258282</v>
      </c>
      <c r="L10" t="s">
        <v>21</v>
      </c>
      <c r="M10" t="s">
        <v>35</v>
      </c>
      <c r="N10" t="s">
        <v>51</v>
      </c>
      <c r="O10" t="s">
        <v>65</v>
      </c>
      <c r="P10" t="s">
        <v>80</v>
      </c>
      <c r="Q10" t="s">
        <v>114</v>
      </c>
      <c r="R10" t="s">
        <v>129</v>
      </c>
      <c r="S10" s="23" t="s">
        <v>198</v>
      </c>
      <c r="T10" t="s">
        <v>157</v>
      </c>
      <c r="U10" t="s">
        <v>100</v>
      </c>
      <c r="AG10" s="18">
        <v>73</v>
      </c>
      <c r="AH10" t="s">
        <v>184</v>
      </c>
      <c r="AI10" t="s">
        <v>185</v>
      </c>
      <c r="AJ10" t="s">
        <v>194</v>
      </c>
      <c r="AK10" t="s">
        <v>147</v>
      </c>
    </row>
    <row r="11" spans="1:37">
      <c r="A11" t="s">
        <v>4</v>
      </c>
      <c r="B11">
        <v>2106</v>
      </c>
      <c r="C11">
        <v>3198</v>
      </c>
      <c r="D11">
        <f t="shared" si="0"/>
        <v>65.853658536585371</v>
      </c>
      <c r="G11" t="s">
        <v>4</v>
      </c>
      <c r="H11">
        <v>1689</v>
      </c>
      <c r="I11">
        <v>3198</v>
      </c>
      <c r="J11">
        <f t="shared" si="2"/>
        <v>52.814258911819891</v>
      </c>
      <c r="L11" t="s">
        <v>22</v>
      </c>
      <c r="M11" t="s">
        <v>36</v>
      </c>
      <c r="N11" t="s">
        <v>52</v>
      </c>
      <c r="O11" t="s">
        <v>66</v>
      </c>
      <c r="P11" t="s">
        <v>81</v>
      </c>
      <c r="Q11" t="s">
        <v>115</v>
      </c>
      <c r="R11" t="s">
        <v>130</v>
      </c>
      <c r="S11" t="s">
        <v>143</v>
      </c>
      <c r="T11" t="s">
        <v>158</v>
      </c>
      <c r="U11" t="s">
        <v>98</v>
      </c>
      <c r="AG11" s="20">
        <v>71</v>
      </c>
      <c r="AH11" t="s">
        <v>187</v>
      </c>
      <c r="AI11" t="s">
        <v>186</v>
      </c>
      <c r="AJ11" t="s">
        <v>196</v>
      </c>
      <c r="AK11" t="s">
        <v>140</v>
      </c>
    </row>
    <row r="12" spans="1:37">
      <c r="A12" t="s">
        <v>5</v>
      </c>
      <c r="B12">
        <v>2008</v>
      </c>
      <c r="C12">
        <v>3198</v>
      </c>
      <c r="D12">
        <f t="shared" si="0"/>
        <v>62.789243277048158</v>
      </c>
      <c r="G12" t="s">
        <v>5</v>
      </c>
      <c r="H12">
        <v>1351</v>
      </c>
      <c r="I12">
        <v>3198</v>
      </c>
      <c r="J12">
        <f t="shared" si="2"/>
        <v>42.24515322076298</v>
      </c>
      <c r="L12" t="s">
        <v>23</v>
      </c>
      <c r="M12" t="s">
        <v>37</v>
      </c>
      <c r="N12" t="s">
        <v>53</v>
      </c>
      <c r="O12" t="s">
        <v>67</v>
      </c>
      <c r="P12" t="s">
        <v>82</v>
      </c>
      <c r="Q12" t="s">
        <v>116</v>
      </c>
      <c r="R12" t="s">
        <v>131</v>
      </c>
      <c r="S12" t="s">
        <v>144</v>
      </c>
      <c r="T12" t="s">
        <v>159</v>
      </c>
      <c r="U12" t="s">
        <v>101</v>
      </c>
      <c r="AG12" s="22">
        <v>79</v>
      </c>
      <c r="AH12" t="s">
        <v>192</v>
      </c>
      <c r="AI12" t="s">
        <v>112</v>
      </c>
      <c r="AJ12" t="s">
        <v>169</v>
      </c>
      <c r="AK12" t="s">
        <v>142</v>
      </c>
    </row>
    <row r="13" spans="1:37">
      <c r="AG13" s="21">
        <v>79</v>
      </c>
      <c r="AH13" t="s">
        <v>193</v>
      </c>
      <c r="AI13" t="s">
        <v>112</v>
      </c>
      <c r="AJ13" t="s">
        <v>169</v>
      </c>
      <c r="AK13" t="s">
        <v>148</v>
      </c>
    </row>
    <row r="14" spans="1:37">
      <c r="A14" t="s">
        <v>6</v>
      </c>
      <c r="B14">
        <v>2195</v>
      </c>
      <c r="C14">
        <v>3198</v>
      </c>
      <c r="D14">
        <f t="shared" si="0"/>
        <v>68.636647904940588</v>
      </c>
      <c r="G14" t="s">
        <v>6</v>
      </c>
      <c r="H14">
        <v>1853</v>
      </c>
      <c r="I14">
        <v>3198</v>
      </c>
      <c r="J14">
        <f t="shared" ref="J14:J16" si="3">H14/I14*100</f>
        <v>57.942464040025008</v>
      </c>
      <c r="L14" t="s">
        <v>24</v>
      </c>
      <c r="M14" t="s">
        <v>38</v>
      </c>
      <c r="N14" s="11" t="s">
        <v>537</v>
      </c>
      <c r="O14" t="s">
        <v>68</v>
      </c>
      <c r="P14" t="s">
        <v>81</v>
      </c>
      <c r="Q14" t="s">
        <v>117</v>
      </c>
      <c r="R14" t="s">
        <v>132</v>
      </c>
      <c r="S14" t="s">
        <v>145</v>
      </c>
      <c r="T14" t="s">
        <v>160</v>
      </c>
      <c r="U14" t="s">
        <v>102</v>
      </c>
      <c r="V14" t="s">
        <v>181</v>
      </c>
      <c r="AG14" s="21">
        <v>80</v>
      </c>
      <c r="AH14" t="s">
        <v>193</v>
      </c>
      <c r="AI14" t="s">
        <v>195</v>
      </c>
      <c r="AJ14" t="s">
        <v>199</v>
      </c>
      <c r="AK14" t="s">
        <v>148</v>
      </c>
    </row>
    <row r="15" spans="1:37">
      <c r="A15" t="s">
        <v>7</v>
      </c>
      <c r="B15">
        <v>2105</v>
      </c>
      <c r="C15">
        <v>3198</v>
      </c>
      <c r="D15">
        <f t="shared" si="0"/>
        <v>65.822388993120697</v>
      </c>
      <c r="G15" t="s">
        <v>7</v>
      </c>
      <c r="H15">
        <v>1770</v>
      </c>
      <c r="I15">
        <v>3198</v>
      </c>
      <c r="J15">
        <f t="shared" si="3"/>
        <v>55.347091932457779</v>
      </c>
      <c r="L15" t="s">
        <v>25</v>
      </c>
      <c r="M15" t="s">
        <v>39</v>
      </c>
      <c r="N15" s="11" t="s">
        <v>538</v>
      </c>
      <c r="O15" t="s">
        <v>69</v>
      </c>
      <c r="P15" t="s">
        <v>83</v>
      </c>
      <c r="Q15" t="s">
        <v>118</v>
      </c>
      <c r="R15" t="s">
        <v>133</v>
      </c>
      <c r="S15" t="s">
        <v>146</v>
      </c>
      <c r="T15" t="s">
        <v>161</v>
      </c>
      <c r="U15" t="s">
        <v>103</v>
      </c>
      <c r="V15" t="s">
        <v>181</v>
      </c>
      <c r="X15" s="5"/>
    </row>
    <row r="16" spans="1:37">
      <c r="A16" t="s">
        <v>8</v>
      </c>
      <c r="B16">
        <v>2020</v>
      </c>
      <c r="C16">
        <v>3198</v>
      </c>
      <c r="D16">
        <f t="shared" si="0"/>
        <v>63.164477798624141</v>
      </c>
      <c r="G16" t="s">
        <v>8</v>
      </c>
      <c r="H16">
        <v>1712</v>
      </c>
      <c r="I16">
        <v>3198</v>
      </c>
      <c r="J16">
        <f t="shared" si="3"/>
        <v>53.533458411507198</v>
      </c>
      <c r="L16" t="s">
        <v>26</v>
      </c>
      <c r="M16" t="s">
        <v>40</v>
      </c>
      <c r="N16" t="s">
        <v>60</v>
      </c>
      <c r="O16" t="s">
        <v>70</v>
      </c>
      <c r="P16" t="s">
        <v>78</v>
      </c>
      <c r="Q16" t="s">
        <v>119</v>
      </c>
      <c r="R16" t="s">
        <v>134</v>
      </c>
      <c r="S16" s="17" t="s">
        <v>143</v>
      </c>
      <c r="T16" t="s">
        <v>162</v>
      </c>
      <c r="U16" t="s">
        <v>103</v>
      </c>
      <c r="X16" s="5"/>
    </row>
    <row r="17" spans="1:43">
      <c r="X17" s="5"/>
    </row>
    <row r="18" spans="1:43">
      <c r="A18" t="s">
        <v>9</v>
      </c>
      <c r="B18">
        <v>2329</v>
      </c>
      <c r="C18">
        <v>3198</v>
      </c>
      <c r="D18">
        <f t="shared" si="0"/>
        <v>72.826766729205744</v>
      </c>
      <c r="G18" t="s">
        <v>9</v>
      </c>
      <c r="H18">
        <v>2012</v>
      </c>
      <c r="I18">
        <v>3198</v>
      </c>
      <c r="J18">
        <f t="shared" ref="J18:J20" si="4">H18/I18*100</f>
        <v>62.914321450906819</v>
      </c>
      <c r="L18" t="s">
        <v>27</v>
      </c>
      <c r="M18" t="s">
        <v>41</v>
      </c>
      <c r="N18" t="s">
        <v>54</v>
      </c>
      <c r="O18" t="s">
        <v>71</v>
      </c>
      <c r="P18" t="s">
        <v>84</v>
      </c>
      <c r="Q18" t="s">
        <v>120</v>
      </c>
      <c r="R18" t="s">
        <v>135</v>
      </c>
      <c r="S18" s="8" t="s">
        <v>200</v>
      </c>
      <c r="T18" t="s">
        <v>163</v>
      </c>
      <c r="U18" t="s">
        <v>104</v>
      </c>
      <c r="X18" s="5"/>
    </row>
    <row r="19" spans="1:43">
      <c r="A19" t="s">
        <v>10</v>
      </c>
      <c r="B19">
        <v>2299</v>
      </c>
      <c r="C19">
        <v>3198</v>
      </c>
      <c r="D19">
        <f t="shared" si="0"/>
        <v>71.88868042526579</v>
      </c>
      <c r="G19" t="s">
        <v>10</v>
      </c>
      <c r="H19">
        <v>1948</v>
      </c>
      <c r="I19">
        <v>3198</v>
      </c>
      <c r="J19">
        <f t="shared" si="4"/>
        <v>60.913070669168235</v>
      </c>
      <c r="L19" t="s">
        <v>28</v>
      </c>
      <c r="M19" t="s">
        <v>42</v>
      </c>
      <c r="N19" t="s">
        <v>55</v>
      </c>
      <c r="O19" t="s">
        <v>72</v>
      </c>
      <c r="P19" t="s">
        <v>84</v>
      </c>
      <c r="Q19" t="s">
        <v>121</v>
      </c>
      <c r="R19" t="s">
        <v>136</v>
      </c>
      <c r="S19" t="s">
        <v>149</v>
      </c>
      <c r="T19" t="s">
        <v>163</v>
      </c>
      <c r="U19" t="s">
        <v>105</v>
      </c>
      <c r="X19" s="5"/>
    </row>
    <row r="20" spans="1:43">
      <c r="A20" t="s">
        <v>11</v>
      </c>
      <c r="B20">
        <v>2265</v>
      </c>
      <c r="C20">
        <v>3198</v>
      </c>
      <c r="D20">
        <f t="shared" si="0"/>
        <v>70.825515947467167</v>
      </c>
      <c r="G20" t="s">
        <v>11</v>
      </c>
      <c r="H20">
        <v>1950</v>
      </c>
      <c r="I20">
        <v>3198</v>
      </c>
      <c r="J20">
        <f t="shared" si="4"/>
        <v>60.975609756097562</v>
      </c>
      <c r="L20" t="s">
        <v>29</v>
      </c>
      <c r="M20" t="s">
        <v>43</v>
      </c>
      <c r="N20" t="s">
        <v>56</v>
      </c>
      <c r="O20" t="s">
        <v>73</v>
      </c>
      <c r="P20" t="s">
        <v>85</v>
      </c>
      <c r="Q20" t="s">
        <v>121</v>
      </c>
      <c r="R20" t="s">
        <v>137</v>
      </c>
      <c r="S20" t="s">
        <v>150</v>
      </c>
      <c r="T20" t="s">
        <v>164</v>
      </c>
      <c r="U20" t="s">
        <v>102</v>
      </c>
      <c r="X20" s="5"/>
    </row>
    <row r="21" spans="1:43">
      <c r="X21" s="5"/>
    </row>
    <row r="22" spans="1:43">
      <c r="A22" t="s">
        <v>377</v>
      </c>
      <c r="B22">
        <v>2101</v>
      </c>
      <c r="C22">
        <v>3198</v>
      </c>
      <c r="D22">
        <f t="shared" si="0"/>
        <v>65.697310819262029</v>
      </c>
      <c r="G22" t="s">
        <v>377</v>
      </c>
      <c r="H22">
        <v>1800</v>
      </c>
      <c r="I22">
        <v>3198</v>
      </c>
      <c r="J22">
        <f t="shared" ref="J22:J24" si="5">H22/I22*100</f>
        <v>56.285178236397748</v>
      </c>
      <c r="L22" t="s">
        <v>18</v>
      </c>
      <c r="M22" t="s">
        <v>44</v>
      </c>
      <c r="N22" t="s">
        <v>57</v>
      </c>
      <c r="O22" t="s">
        <v>74</v>
      </c>
      <c r="P22" t="s">
        <v>86</v>
      </c>
      <c r="Q22" t="s">
        <v>124</v>
      </c>
      <c r="R22" t="s">
        <v>133</v>
      </c>
      <c r="S22" t="s">
        <v>151</v>
      </c>
      <c r="T22" t="s">
        <v>165</v>
      </c>
      <c r="U22" t="s">
        <v>106</v>
      </c>
      <c r="X22" s="5"/>
    </row>
    <row r="23" spans="1:43">
      <c r="A23" t="s">
        <v>378</v>
      </c>
      <c r="B23">
        <v>1906</v>
      </c>
      <c r="C23">
        <v>3198</v>
      </c>
      <c r="D23">
        <f t="shared" si="0"/>
        <v>59.599749843652283</v>
      </c>
      <c r="G23" t="s">
        <v>378</v>
      </c>
      <c r="H23">
        <v>1639</v>
      </c>
      <c r="I23">
        <v>3198</v>
      </c>
      <c r="J23">
        <f t="shared" si="5"/>
        <v>51.250781738586618</v>
      </c>
      <c r="L23" t="s">
        <v>30</v>
      </c>
      <c r="M23" t="s">
        <v>45</v>
      </c>
      <c r="N23" t="s">
        <v>58</v>
      </c>
      <c r="O23" t="s">
        <v>70</v>
      </c>
      <c r="P23" t="s">
        <v>87</v>
      </c>
      <c r="Q23" t="s">
        <v>123</v>
      </c>
      <c r="R23" t="s">
        <v>138</v>
      </c>
      <c r="S23" t="s">
        <v>152</v>
      </c>
      <c r="T23" t="s">
        <v>166</v>
      </c>
      <c r="U23" t="s">
        <v>98</v>
      </c>
      <c r="X23" s="5"/>
    </row>
    <row r="24" spans="1:43">
      <c r="A24" t="s">
        <v>379</v>
      </c>
      <c r="B24">
        <v>1575</v>
      </c>
      <c r="C24">
        <v>3198</v>
      </c>
      <c r="D24">
        <f t="shared" si="0"/>
        <v>49.249530956848034</v>
      </c>
      <c r="G24" t="s">
        <v>379</v>
      </c>
      <c r="H24">
        <v>1376</v>
      </c>
      <c r="I24">
        <v>3198</v>
      </c>
      <c r="J24">
        <f t="shared" si="5"/>
        <v>43.026891807379613</v>
      </c>
      <c r="L24" t="s">
        <v>23</v>
      </c>
      <c r="M24" t="s">
        <v>46</v>
      </c>
      <c r="N24" t="s">
        <v>59</v>
      </c>
      <c r="O24" t="s">
        <v>75</v>
      </c>
      <c r="P24" t="s">
        <v>88</v>
      </c>
      <c r="Q24" t="s">
        <v>122</v>
      </c>
      <c r="R24" t="s">
        <v>139</v>
      </c>
      <c r="S24" t="s">
        <v>153</v>
      </c>
      <c r="T24" t="s">
        <v>167</v>
      </c>
      <c r="U24" t="s">
        <v>101</v>
      </c>
      <c r="X24" s="5"/>
    </row>
    <row r="27" spans="1:43">
      <c r="A27" s="45" t="s">
        <v>202</v>
      </c>
      <c r="B27" s="45"/>
      <c r="C27" s="45"/>
      <c r="D27" s="45"/>
      <c r="G27" s="46" t="s">
        <v>326</v>
      </c>
      <c r="H27" s="46"/>
      <c r="I27" s="46"/>
      <c r="J27" s="46"/>
      <c r="L27" s="26">
        <v>7</v>
      </c>
      <c r="M27">
        <v>11</v>
      </c>
      <c r="N27">
        <v>15</v>
      </c>
      <c r="O27">
        <v>19</v>
      </c>
      <c r="P27">
        <v>23</v>
      </c>
      <c r="Q27">
        <v>27</v>
      </c>
      <c r="R27">
        <v>31</v>
      </c>
      <c r="S27">
        <v>35</v>
      </c>
      <c r="T27">
        <v>39</v>
      </c>
      <c r="U27">
        <v>40</v>
      </c>
      <c r="V27">
        <v>42</v>
      </c>
      <c r="W27">
        <v>46</v>
      </c>
      <c r="X27">
        <v>49</v>
      </c>
      <c r="Y27">
        <v>50</v>
      </c>
      <c r="AC27" s="24"/>
    </row>
    <row r="28" spans="1:43">
      <c r="A28" s="1" t="s">
        <v>12</v>
      </c>
      <c r="B28" s="1" t="s">
        <v>13</v>
      </c>
      <c r="C28" s="1" t="s">
        <v>14</v>
      </c>
      <c r="D28" s="1" t="s">
        <v>15</v>
      </c>
      <c r="G28" s="1" t="s">
        <v>12</v>
      </c>
      <c r="H28" s="1" t="s">
        <v>13</v>
      </c>
      <c r="I28" s="1" t="s">
        <v>14</v>
      </c>
      <c r="J28" s="1" t="s">
        <v>15</v>
      </c>
    </row>
    <row r="29" spans="1:43">
      <c r="A29" t="s">
        <v>16</v>
      </c>
      <c r="B29">
        <v>205</v>
      </c>
      <c r="C29">
        <v>279</v>
      </c>
      <c r="D29">
        <f>B29/C29*100</f>
        <v>73.476702508960585</v>
      </c>
      <c r="G29" t="s">
        <v>16</v>
      </c>
      <c r="H29">
        <v>185</v>
      </c>
      <c r="I29">
        <v>279</v>
      </c>
      <c r="J29">
        <f>H29/I29*100</f>
        <v>66.308243727598565</v>
      </c>
      <c r="L29" t="s">
        <v>210</v>
      </c>
      <c r="M29" t="s">
        <v>224</v>
      </c>
      <c r="N29" t="s">
        <v>224</v>
      </c>
      <c r="O29" t="s">
        <v>246</v>
      </c>
      <c r="P29" t="s">
        <v>246</v>
      </c>
      <c r="Q29" t="s">
        <v>258</v>
      </c>
      <c r="R29" t="s">
        <v>261</v>
      </c>
      <c r="S29" s="2" t="s">
        <v>272</v>
      </c>
      <c r="T29" t="s">
        <v>281</v>
      </c>
      <c r="U29" t="s">
        <v>292</v>
      </c>
      <c r="V29" s="2" t="s">
        <v>299</v>
      </c>
      <c r="W29" s="2" t="s">
        <v>306</v>
      </c>
      <c r="X29" t="s">
        <v>291</v>
      </c>
      <c r="Y29" s="2" t="s">
        <v>323</v>
      </c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</row>
    <row r="30" spans="1:43">
      <c r="V30" s="2"/>
      <c r="W30" s="2"/>
      <c r="Y30" s="2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</row>
    <row r="31" spans="1:43">
      <c r="A31" t="s">
        <v>1</v>
      </c>
      <c r="B31">
        <v>577</v>
      </c>
      <c r="C31">
        <v>837</v>
      </c>
      <c r="D31">
        <f t="shared" ref="D31:D33" si="6">B31/C31*100</f>
        <v>68.936678614097971</v>
      </c>
      <c r="G31" t="s">
        <v>1</v>
      </c>
      <c r="H31">
        <v>501</v>
      </c>
      <c r="I31">
        <v>837</v>
      </c>
      <c r="J31">
        <f t="shared" ref="J31:J33" si="7">H31/I31*100</f>
        <v>59.856630824372758</v>
      </c>
      <c r="L31" t="s">
        <v>211</v>
      </c>
      <c r="M31" t="s">
        <v>225</v>
      </c>
      <c r="N31" t="s">
        <v>236</v>
      </c>
      <c r="O31" t="s">
        <v>247</v>
      </c>
      <c r="P31" t="s">
        <v>244</v>
      </c>
      <c r="Q31" t="s">
        <v>259</v>
      </c>
      <c r="R31" t="s">
        <v>262</v>
      </c>
      <c r="S31" t="s">
        <v>273</v>
      </c>
      <c r="T31" t="s">
        <v>282</v>
      </c>
      <c r="U31" t="s">
        <v>291</v>
      </c>
      <c r="V31" s="2" t="s">
        <v>300</v>
      </c>
      <c r="W31" s="2" t="s">
        <v>307</v>
      </c>
      <c r="X31" t="s">
        <v>314</v>
      </c>
      <c r="Y31" s="2" t="s">
        <v>324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</row>
    <row r="32" spans="1:43">
      <c r="A32" t="s">
        <v>2</v>
      </c>
      <c r="B32">
        <v>455</v>
      </c>
      <c r="C32">
        <v>837</v>
      </c>
      <c r="D32">
        <f t="shared" si="6"/>
        <v>54.360812425328554</v>
      </c>
      <c r="G32" t="s">
        <v>2</v>
      </c>
      <c r="H32">
        <v>369</v>
      </c>
      <c r="I32">
        <v>837</v>
      </c>
      <c r="J32">
        <f t="shared" si="7"/>
        <v>44.086021505376344</v>
      </c>
      <c r="L32" t="s">
        <v>212</v>
      </c>
      <c r="M32" t="s">
        <v>226</v>
      </c>
      <c r="N32" t="s">
        <v>237</v>
      </c>
      <c r="O32" t="s">
        <v>248</v>
      </c>
      <c r="P32" t="s">
        <v>254</v>
      </c>
      <c r="Q32" t="s">
        <v>256</v>
      </c>
      <c r="R32" t="s">
        <v>263</v>
      </c>
      <c r="S32" t="s">
        <v>274</v>
      </c>
      <c r="T32" t="s">
        <v>283</v>
      </c>
      <c r="U32" t="s">
        <v>293</v>
      </c>
      <c r="V32" s="2" t="s">
        <v>301</v>
      </c>
      <c r="W32" s="2" t="s">
        <v>308</v>
      </c>
      <c r="X32" t="s">
        <v>315</v>
      </c>
      <c r="Y32" s="2" t="s">
        <v>325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</row>
    <row r="33" spans="1:43">
      <c r="A33" t="s">
        <v>0</v>
      </c>
      <c r="B33">
        <v>351</v>
      </c>
      <c r="C33">
        <v>837</v>
      </c>
      <c r="D33">
        <f t="shared" si="6"/>
        <v>41.935483870967744</v>
      </c>
      <c r="G33" t="s">
        <v>0</v>
      </c>
      <c r="H33">
        <v>278</v>
      </c>
      <c r="I33">
        <v>837</v>
      </c>
      <c r="J33">
        <f t="shared" si="7"/>
        <v>33.213859020310629</v>
      </c>
      <c r="L33" t="s">
        <v>213</v>
      </c>
      <c r="M33" t="s">
        <v>227</v>
      </c>
      <c r="N33" t="s">
        <v>238</v>
      </c>
      <c r="O33" t="s">
        <v>249</v>
      </c>
      <c r="P33" t="s">
        <v>255</v>
      </c>
      <c r="Q33" t="s">
        <v>226</v>
      </c>
      <c r="R33" t="s">
        <v>264</v>
      </c>
      <c r="S33" t="s">
        <v>275</v>
      </c>
      <c r="T33" t="s">
        <v>275</v>
      </c>
      <c r="U33" t="s">
        <v>294</v>
      </c>
      <c r="V33" s="2" t="s">
        <v>302</v>
      </c>
      <c r="W33" s="2" t="s">
        <v>309</v>
      </c>
      <c r="X33" t="s">
        <v>316</v>
      </c>
      <c r="Y33" s="2" t="s">
        <v>298</v>
      </c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>
      <c r="V34" s="2"/>
      <c r="W34" s="2"/>
      <c r="Y34" s="2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>
      <c r="A35" t="s">
        <v>3</v>
      </c>
      <c r="B35">
        <v>622</v>
      </c>
      <c r="C35">
        <v>837</v>
      </c>
      <c r="D35">
        <f t="shared" ref="D35:D37" si="8">B35/C35*100</f>
        <v>74.313022700119475</v>
      </c>
      <c r="G35" t="s">
        <v>3</v>
      </c>
      <c r="H35">
        <v>535</v>
      </c>
      <c r="I35">
        <v>837</v>
      </c>
      <c r="J35">
        <f t="shared" ref="J35:J37" si="9">H35/I35*100</f>
        <v>63.918757467144559</v>
      </c>
      <c r="L35" t="s">
        <v>214</v>
      </c>
      <c r="M35" t="s">
        <v>229</v>
      </c>
      <c r="N35" t="s">
        <v>239</v>
      </c>
      <c r="O35" t="s">
        <v>235</v>
      </c>
      <c r="P35" t="s">
        <v>236</v>
      </c>
      <c r="Q35" t="s">
        <v>233</v>
      </c>
      <c r="R35" t="s">
        <v>265</v>
      </c>
      <c r="S35" t="s">
        <v>276</v>
      </c>
      <c r="T35" t="s">
        <v>282</v>
      </c>
      <c r="U35" t="s">
        <v>295</v>
      </c>
      <c r="V35" s="2" t="s">
        <v>303</v>
      </c>
      <c r="W35" s="2" t="s">
        <v>285</v>
      </c>
      <c r="X35" t="s">
        <v>317</v>
      </c>
      <c r="Y35" s="2" t="s">
        <v>296</v>
      </c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</row>
    <row r="36" spans="1:43">
      <c r="A36" t="s">
        <v>4</v>
      </c>
      <c r="B36">
        <v>565</v>
      </c>
      <c r="C36">
        <v>837</v>
      </c>
      <c r="D36">
        <f t="shared" si="8"/>
        <v>67.502986857825562</v>
      </c>
      <c r="G36" t="s">
        <v>4</v>
      </c>
      <c r="H36">
        <v>449</v>
      </c>
      <c r="I36">
        <v>837</v>
      </c>
      <c r="J36">
        <f t="shared" si="9"/>
        <v>53.643966547192356</v>
      </c>
      <c r="L36" t="s">
        <v>215</v>
      </c>
      <c r="M36" t="s">
        <v>228</v>
      </c>
      <c r="N36" t="s">
        <v>240</v>
      </c>
      <c r="O36" t="s">
        <v>250</v>
      </c>
      <c r="P36" t="s">
        <v>255</v>
      </c>
      <c r="Q36" t="s">
        <v>243</v>
      </c>
      <c r="R36" t="s">
        <v>264</v>
      </c>
      <c r="S36" t="s">
        <v>277</v>
      </c>
      <c r="T36" t="s">
        <v>284</v>
      </c>
      <c r="U36" t="s">
        <v>293</v>
      </c>
      <c r="V36" s="2" t="s">
        <v>304</v>
      </c>
      <c r="W36" s="2" t="s">
        <v>310</v>
      </c>
      <c r="X36" t="s">
        <v>318</v>
      </c>
      <c r="Y36" s="2" t="s">
        <v>293</v>
      </c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</row>
    <row r="37" spans="1:43">
      <c r="A37" t="s">
        <v>5</v>
      </c>
      <c r="B37">
        <v>510</v>
      </c>
      <c r="C37">
        <v>837</v>
      </c>
      <c r="D37">
        <f t="shared" si="8"/>
        <v>60.931899641577061</v>
      </c>
      <c r="G37" t="s">
        <v>5</v>
      </c>
      <c r="H37">
        <v>372</v>
      </c>
      <c r="I37">
        <v>837</v>
      </c>
      <c r="J37">
        <f t="shared" si="9"/>
        <v>44.444444444444443</v>
      </c>
      <c r="L37" t="s">
        <v>215</v>
      </c>
      <c r="M37" t="s">
        <v>230</v>
      </c>
      <c r="N37" t="s">
        <v>241</v>
      </c>
      <c r="O37" t="s">
        <v>251</v>
      </c>
      <c r="P37" t="s">
        <v>254</v>
      </c>
      <c r="Q37" t="s">
        <v>256</v>
      </c>
      <c r="R37" t="s">
        <v>266</v>
      </c>
      <c r="S37" t="s">
        <v>278</v>
      </c>
      <c r="T37" t="s">
        <v>285</v>
      </c>
      <c r="U37" t="s">
        <v>296</v>
      </c>
      <c r="V37" s="2" t="s">
        <v>303</v>
      </c>
      <c r="W37" s="2" t="s">
        <v>311</v>
      </c>
      <c r="X37" t="s">
        <v>319</v>
      </c>
      <c r="Y37" s="2" t="s">
        <v>294</v>
      </c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>
      <c r="V38" s="2"/>
      <c r="W38" s="2"/>
      <c r="Y38" s="2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>
      <c r="A39" t="s">
        <v>6</v>
      </c>
      <c r="B39">
        <v>595</v>
      </c>
      <c r="C39">
        <v>837</v>
      </c>
      <c r="D39">
        <f t="shared" ref="D39:D41" si="10">B39/C39*100</f>
        <v>71.087216248506564</v>
      </c>
      <c r="G39" t="s">
        <v>6</v>
      </c>
      <c r="H39">
        <v>543</v>
      </c>
      <c r="I39">
        <v>837</v>
      </c>
      <c r="J39">
        <f t="shared" ref="J39:J41" si="11">H39/I39*100</f>
        <v>64.87455197132617</v>
      </c>
      <c r="L39" t="s">
        <v>216</v>
      </c>
      <c r="M39" t="s">
        <v>231</v>
      </c>
      <c r="N39" t="s">
        <v>242</v>
      </c>
      <c r="O39" t="s">
        <v>244</v>
      </c>
      <c r="P39" t="s">
        <v>256</v>
      </c>
      <c r="Q39" t="s">
        <v>225</v>
      </c>
      <c r="R39" t="s">
        <v>265</v>
      </c>
      <c r="S39" t="s">
        <v>279</v>
      </c>
      <c r="T39" t="s">
        <v>286</v>
      </c>
      <c r="U39" t="s">
        <v>297</v>
      </c>
      <c r="V39" s="2" t="s">
        <v>305</v>
      </c>
      <c r="W39" s="2" t="s">
        <v>283</v>
      </c>
      <c r="X39" t="s">
        <v>320</v>
      </c>
      <c r="Y39" s="2" t="s">
        <v>324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</row>
    <row r="40" spans="1:43">
      <c r="A40" t="s">
        <v>7</v>
      </c>
      <c r="B40">
        <v>598</v>
      </c>
      <c r="C40">
        <v>837</v>
      </c>
      <c r="D40">
        <f t="shared" si="10"/>
        <v>71.44563918757467</v>
      </c>
      <c r="G40" t="s">
        <v>7</v>
      </c>
      <c r="H40">
        <v>541</v>
      </c>
      <c r="I40">
        <v>837</v>
      </c>
      <c r="J40">
        <f t="shared" si="11"/>
        <v>64.635603345280771</v>
      </c>
      <c r="L40" t="s">
        <v>217</v>
      </c>
      <c r="M40" t="s">
        <v>232</v>
      </c>
      <c r="N40" t="s">
        <v>242</v>
      </c>
      <c r="O40" t="s">
        <v>244</v>
      </c>
      <c r="P40" t="s">
        <v>228</v>
      </c>
      <c r="Q40" t="s">
        <v>229</v>
      </c>
      <c r="R40" t="s">
        <v>267</v>
      </c>
      <c r="S40" t="s">
        <v>279</v>
      </c>
      <c r="T40" t="s">
        <v>287</v>
      </c>
      <c r="U40" t="s">
        <v>295</v>
      </c>
      <c r="V40" s="2" t="s">
        <v>305</v>
      </c>
      <c r="W40" s="2" t="s">
        <v>312</v>
      </c>
      <c r="X40" t="s">
        <v>321</v>
      </c>
      <c r="Y40" s="2" t="s">
        <v>324</v>
      </c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</row>
    <row r="41" spans="1:43">
      <c r="A41" t="s">
        <v>8</v>
      </c>
      <c r="B41">
        <v>586</v>
      </c>
      <c r="C41">
        <v>837</v>
      </c>
      <c r="D41">
        <f t="shared" si="10"/>
        <v>70.011947431302275</v>
      </c>
      <c r="G41" t="s">
        <v>8</v>
      </c>
      <c r="H41">
        <v>537</v>
      </c>
      <c r="I41">
        <v>837</v>
      </c>
      <c r="J41">
        <f t="shared" si="11"/>
        <v>64.157706093189958</v>
      </c>
      <c r="L41" t="s">
        <v>218</v>
      </c>
      <c r="M41" t="s">
        <v>233</v>
      </c>
      <c r="N41" t="s">
        <v>242</v>
      </c>
      <c r="O41" t="s">
        <v>235</v>
      </c>
      <c r="P41" t="s">
        <v>242</v>
      </c>
      <c r="Q41" t="s">
        <v>260</v>
      </c>
      <c r="R41" t="s">
        <v>268</v>
      </c>
      <c r="S41" t="s">
        <v>279</v>
      </c>
      <c r="T41" t="s">
        <v>286</v>
      </c>
      <c r="U41" t="s">
        <v>295</v>
      </c>
      <c r="V41" s="2" t="s">
        <v>305</v>
      </c>
      <c r="W41" s="2" t="s">
        <v>313</v>
      </c>
      <c r="X41" t="s">
        <v>314</v>
      </c>
      <c r="Y41" s="2" t="s">
        <v>324</v>
      </c>
      <c r="AA41" s="24"/>
      <c r="AI41" s="24"/>
      <c r="AJ41" s="24"/>
      <c r="AK41" s="24"/>
      <c r="AL41" s="24"/>
      <c r="AM41" s="24"/>
      <c r="AN41" s="24"/>
      <c r="AO41" s="24"/>
      <c r="AP41" s="24"/>
      <c r="AQ41" s="24"/>
    </row>
    <row r="42" spans="1:43">
      <c r="V42" s="2"/>
      <c r="W42" s="2"/>
      <c r="Y42" s="2"/>
      <c r="AA42" s="24"/>
      <c r="AI42" s="24"/>
      <c r="AJ42" s="24"/>
      <c r="AK42" s="24"/>
      <c r="AL42" s="24"/>
      <c r="AM42" s="24"/>
      <c r="AN42" s="24"/>
      <c r="AO42" s="24"/>
      <c r="AP42" s="24"/>
      <c r="AQ42" s="24"/>
    </row>
    <row r="43" spans="1:43">
      <c r="A43" t="s">
        <v>9</v>
      </c>
      <c r="B43">
        <v>635</v>
      </c>
      <c r="C43">
        <v>837</v>
      </c>
      <c r="D43">
        <f t="shared" ref="D43:D45" si="12">B43/C43*100</f>
        <v>75.866188769414578</v>
      </c>
      <c r="G43" t="s">
        <v>9</v>
      </c>
      <c r="H43">
        <v>559</v>
      </c>
      <c r="I43">
        <v>837</v>
      </c>
      <c r="J43">
        <f t="shared" ref="J43:J45" si="13">H43/I43*100</f>
        <v>66.786140979689364</v>
      </c>
      <c r="L43" t="s">
        <v>219</v>
      </c>
      <c r="M43" t="s">
        <v>229</v>
      </c>
      <c r="N43" t="s">
        <v>243</v>
      </c>
      <c r="O43" t="s">
        <v>252</v>
      </c>
      <c r="P43" t="s">
        <v>233</v>
      </c>
      <c r="Q43" t="s">
        <v>233</v>
      </c>
      <c r="R43" t="s">
        <v>267</v>
      </c>
      <c r="S43" t="s">
        <v>276</v>
      </c>
      <c r="T43" t="s">
        <v>288</v>
      </c>
      <c r="U43" t="s">
        <v>295</v>
      </c>
      <c r="V43" s="2" t="s">
        <v>305</v>
      </c>
      <c r="W43" s="2" t="s">
        <v>279</v>
      </c>
      <c r="X43" t="s">
        <v>322</v>
      </c>
      <c r="Y43" s="2" t="s">
        <v>324</v>
      </c>
      <c r="AA43" s="24"/>
      <c r="AI43" s="24"/>
      <c r="AJ43" s="24"/>
      <c r="AK43" s="24"/>
      <c r="AL43" s="24"/>
      <c r="AM43" s="24"/>
      <c r="AN43" s="24"/>
      <c r="AO43" s="24"/>
      <c r="AP43" s="24"/>
      <c r="AQ43" s="24"/>
    </row>
    <row r="44" spans="1:43">
      <c r="A44" t="s">
        <v>10</v>
      </c>
      <c r="B44">
        <v>623</v>
      </c>
      <c r="C44">
        <v>837</v>
      </c>
      <c r="D44">
        <f t="shared" si="12"/>
        <v>74.432497013142168</v>
      </c>
      <c r="G44" t="s">
        <v>10</v>
      </c>
      <c r="H44">
        <v>560</v>
      </c>
      <c r="I44">
        <v>837</v>
      </c>
      <c r="J44">
        <f t="shared" si="13"/>
        <v>66.905615292712056</v>
      </c>
      <c r="L44" t="s">
        <v>220</v>
      </c>
      <c r="M44" t="s">
        <v>233</v>
      </c>
      <c r="N44" t="s">
        <v>234</v>
      </c>
      <c r="O44" t="s">
        <v>235</v>
      </c>
      <c r="P44" t="s">
        <v>233</v>
      </c>
      <c r="Q44" t="s">
        <v>242</v>
      </c>
      <c r="R44" t="s">
        <v>267</v>
      </c>
      <c r="S44" t="s">
        <v>279</v>
      </c>
      <c r="T44" t="s">
        <v>289</v>
      </c>
      <c r="U44" t="s">
        <v>295</v>
      </c>
      <c r="V44" s="2" t="s">
        <v>305</v>
      </c>
      <c r="W44" s="2" t="s">
        <v>280</v>
      </c>
      <c r="X44" t="s">
        <v>314</v>
      </c>
      <c r="Y44" s="2" t="s">
        <v>324</v>
      </c>
      <c r="AA44" s="24"/>
      <c r="AI44" s="24"/>
      <c r="AJ44" s="24"/>
      <c r="AK44" s="24"/>
      <c r="AL44" s="24"/>
      <c r="AM44" s="24"/>
      <c r="AN44" s="24"/>
      <c r="AO44" s="24"/>
      <c r="AP44" s="24"/>
      <c r="AQ44" s="24"/>
    </row>
    <row r="45" spans="1:43">
      <c r="A45" t="s">
        <v>11</v>
      </c>
      <c r="B45">
        <v>641</v>
      </c>
      <c r="C45">
        <v>837</v>
      </c>
      <c r="D45">
        <f t="shared" si="12"/>
        <v>76.583034647550775</v>
      </c>
      <c r="G45" t="s">
        <v>11</v>
      </c>
      <c r="H45">
        <v>555</v>
      </c>
      <c r="I45">
        <v>837</v>
      </c>
      <c r="J45">
        <f t="shared" si="13"/>
        <v>66.308243727598565</v>
      </c>
      <c r="L45" t="s">
        <v>221</v>
      </c>
      <c r="M45" t="s">
        <v>232</v>
      </c>
      <c r="N45" t="s">
        <v>225</v>
      </c>
      <c r="O45" t="s">
        <v>235</v>
      </c>
      <c r="P45" t="s">
        <v>242</v>
      </c>
      <c r="Q45" t="s">
        <v>242</v>
      </c>
      <c r="R45" t="s">
        <v>269</v>
      </c>
      <c r="S45" t="s">
        <v>280</v>
      </c>
      <c r="T45" t="s">
        <v>288</v>
      </c>
      <c r="U45" t="s">
        <v>295</v>
      </c>
      <c r="V45" s="2" t="s">
        <v>305</v>
      </c>
      <c r="W45" s="2" t="s">
        <v>280</v>
      </c>
      <c r="X45" t="s">
        <v>320</v>
      </c>
      <c r="Y45" s="2" t="s">
        <v>324</v>
      </c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</row>
    <row r="46" spans="1:43">
      <c r="V46" s="2"/>
      <c r="W46" s="2"/>
      <c r="Y46" s="2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</row>
    <row r="47" spans="1:43">
      <c r="A47" t="s">
        <v>377</v>
      </c>
      <c r="B47">
        <v>602</v>
      </c>
      <c r="C47">
        <v>837</v>
      </c>
      <c r="D47">
        <f t="shared" ref="D47:D49" si="14">B47/C47*100</f>
        <v>71.923536439665469</v>
      </c>
      <c r="G47" t="s">
        <v>377</v>
      </c>
      <c r="H47">
        <v>522</v>
      </c>
      <c r="I47">
        <v>837</v>
      </c>
      <c r="J47">
        <f t="shared" ref="J47:J49" si="15">H47/I47*100</f>
        <v>62.365591397849464</v>
      </c>
      <c r="L47" t="s">
        <v>222</v>
      </c>
      <c r="M47" t="s">
        <v>234</v>
      </c>
      <c r="N47" t="s">
        <v>244</v>
      </c>
      <c r="O47" t="s">
        <v>241</v>
      </c>
      <c r="P47" t="s">
        <v>228</v>
      </c>
      <c r="Q47" t="s">
        <v>243</v>
      </c>
      <c r="R47" t="s">
        <v>270</v>
      </c>
      <c r="S47" t="s">
        <v>279</v>
      </c>
      <c r="T47" t="s">
        <v>288</v>
      </c>
      <c r="U47" t="s">
        <v>295</v>
      </c>
      <c r="V47" s="2" t="s">
        <v>305</v>
      </c>
      <c r="W47" s="2" t="s">
        <v>283</v>
      </c>
      <c r="X47" t="s">
        <v>320</v>
      </c>
      <c r="Y47" s="2" t="s">
        <v>324</v>
      </c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3">
      <c r="A48" t="s">
        <v>378</v>
      </c>
      <c r="B48">
        <v>509</v>
      </c>
      <c r="C48">
        <v>837</v>
      </c>
      <c r="D48">
        <f t="shared" si="14"/>
        <v>60.812425328554362</v>
      </c>
      <c r="G48" t="s">
        <v>378</v>
      </c>
      <c r="H48">
        <v>457</v>
      </c>
      <c r="I48">
        <v>837</v>
      </c>
      <c r="J48">
        <f t="shared" si="15"/>
        <v>54.599761051373953</v>
      </c>
      <c r="L48" t="s">
        <v>215</v>
      </c>
      <c r="M48" t="s">
        <v>235</v>
      </c>
      <c r="N48" t="s">
        <v>243</v>
      </c>
      <c r="O48" t="s">
        <v>252</v>
      </c>
      <c r="P48" t="s">
        <v>257</v>
      </c>
      <c r="Q48" t="s">
        <v>230</v>
      </c>
      <c r="R48" t="s">
        <v>268</v>
      </c>
      <c r="S48" t="s">
        <v>279</v>
      </c>
      <c r="T48" t="s">
        <v>283</v>
      </c>
      <c r="U48" t="s">
        <v>298</v>
      </c>
      <c r="V48" s="2" t="s">
        <v>305</v>
      </c>
      <c r="W48" s="2" t="s">
        <v>307</v>
      </c>
      <c r="X48" t="s">
        <v>320</v>
      </c>
      <c r="Y48" s="2" t="s">
        <v>324</v>
      </c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</row>
    <row r="49" spans="1:43">
      <c r="A49" t="s">
        <v>379</v>
      </c>
      <c r="B49">
        <v>529</v>
      </c>
      <c r="C49">
        <v>837</v>
      </c>
      <c r="D49">
        <f t="shared" si="14"/>
        <v>63.201911589008361</v>
      </c>
      <c r="G49" t="s">
        <v>379</v>
      </c>
      <c r="H49">
        <v>480</v>
      </c>
      <c r="I49">
        <v>837</v>
      </c>
      <c r="J49">
        <f t="shared" si="15"/>
        <v>57.347670250896051</v>
      </c>
      <c r="L49" t="s">
        <v>223</v>
      </c>
      <c r="M49" t="s">
        <v>231</v>
      </c>
      <c r="N49" t="s">
        <v>245</v>
      </c>
      <c r="O49" t="s">
        <v>253</v>
      </c>
      <c r="P49" t="s">
        <v>227</v>
      </c>
      <c r="Q49" t="s">
        <v>244</v>
      </c>
      <c r="R49" t="s">
        <v>271</v>
      </c>
      <c r="S49" t="s">
        <v>279</v>
      </c>
      <c r="T49" t="s">
        <v>290</v>
      </c>
      <c r="U49" t="s">
        <v>295</v>
      </c>
      <c r="V49" s="2" t="s">
        <v>305</v>
      </c>
      <c r="W49" s="2" t="s">
        <v>312</v>
      </c>
      <c r="X49" t="s">
        <v>320</v>
      </c>
      <c r="Y49" s="2" t="s">
        <v>324</v>
      </c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1" spans="1:43">
      <c r="A51" t="s">
        <v>204</v>
      </c>
      <c r="L51" s="27"/>
    </row>
    <row r="52" spans="1:43">
      <c r="A52" s="45" t="s">
        <v>203</v>
      </c>
      <c r="B52" s="45"/>
      <c r="C52" s="45"/>
      <c r="D52" s="45"/>
      <c r="G52" s="46" t="s">
        <v>327</v>
      </c>
      <c r="H52" s="46"/>
      <c r="I52" s="46"/>
      <c r="J52" s="46"/>
      <c r="L52">
        <v>3</v>
      </c>
      <c r="M52">
        <v>7</v>
      </c>
      <c r="N52">
        <v>11</v>
      </c>
      <c r="O52">
        <v>15</v>
      </c>
      <c r="P52">
        <v>20</v>
      </c>
      <c r="Q52">
        <v>24</v>
      </c>
      <c r="R52">
        <v>28</v>
      </c>
      <c r="S52">
        <v>32</v>
      </c>
      <c r="T52">
        <v>33</v>
      </c>
      <c r="U52">
        <v>37</v>
      </c>
      <c r="V52">
        <v>41</v>
      </c>
      <c r="W52">
        <v>42</v>
      </c>
      <c r="X52">
        <v>46</v>
      </c>
      <c r="Y52">
        <v>50</v>
      </c>
      <c r="AG52" s="6" t="s">
        <v>107</v>
      </c>
      <c r="AH52" s="7"/>
      <c r="AI52" s="7"/>
      <c r="AJ52" s="7"/>
      <c r="AK52" s="7"/>
    </row>
    <row r="53" spans="1:43">
      <c r="A53" s="1" t="s">
        <v>12</v>
      </c>
      <c r="B53" s="1" t="s">
        <v>13</v>
      </c>
      <c r="C53" s="1" t="s">
        <v>14</v>
      </c>
      <c r="D53" s="1" t="s">
        <v>15</v>
      </c>
      <c r="G53" s="1" t="s">
        <v>12</v>
      </c>
      <c r="H53" s="1" t="s">
        <v>13</v>
      </c>
      <c r="I53" s="1" t="s">
        <v>14</v>
      </c>
      <c r="J53" s="1" t="s">
        <v>15</v>
      </c>
      <c r="AA53" s="24"/>
      <c r="AG53" s="4" t="s">
        <v>108</v>
      </c>
      <c r="AH53" s="4" t="s">
        <v>109</v>
      </c>
      <c r="AI53" s="4" t="s">
        <v>111</v>
      </c>
      <c r="AJ53" s="4" t="s">
        <v>170</v>
      </c>
      <c r="AK53" s="4" t="s">
        <v>180</v>
      </c>
      <c r="AM53" s="24"/>
      <c r="AN53" s="24"/>
      <c r="AP53" s="24"/>
    </row>
    <row r="54" spans="1:43">
      <c r="A54" t="s">
        <v>16</v>
      </c>
      <c r="B54">
        <v>192</v>
      </c>
      <c r="C54">
        <v>248</v>
      </c>
      <c r="D54">
        <f>B54/C54*100</f>
        <v>77.41935483870968</v>
      </c>
      <c r="G54" t="s">
        <v>16</v>
      </c>
      <c r="H54">
        <v>166</v>
      </c>
      <c r="I54">
        <v>248</v>
      </c>
      <c r="J54">
        <f>H54/I54*100</f>
        <v>66.935483870967744</v>
      </c>
      <c r="L54" t="s">
        <v>291</v>
      </c>
      <c r="M54" t="s">
        <v>331</v>
      </c>
      <c r="N54" s="2" t="s">
        <v>272</v>
      </c>
      <c r="O54" t="s">
        <v>281</v>
      </c>
      <c r="P54" s="2" t="s">
        <v>339</v>
      </c>
      <c r="Q54" t="s">
        <v>350</v>
      </c>
      <c r="R54" s="2" t="s">
        <v>355</v>
      </c>
      <c r="S54" t="s">
        <v>281</v>
      </c>
      <c r="T54" s="2" t="s">
        <v>292</v>
      </c>
      <c r="U54" t="s">
        <v>362</v>
      </c>
      <c r="V54" t="s">
        <v>281</v>
      </c>
      <c r="W54" s="2" t="s">
        <v>366</v>
      </c>
      <c r="X54" t="s">
        <v>362</v>
      </c>
      <c r="Y54" s="2" t="s">
        <v>370</v>
      </c>
      <c r="AA54" s="24"/>
      <c r="AG54" s="9">
        <v>190</v>
      </c>
      <c r="AH54" t="s">
        <v>174</v>
      </c>
      <c r="AI54" t="s">
        <v>376</v>
      </c>
      <c r="AJ54" t="s">
        <v>190</v>
      </c>
      <c r="AK54" t="s">
        <v>364</v>
      </c>
      <c r="AL54" s="24"/>
      <c r="AM54" s="24"/>
      <c r="AN54" s="24"/>
      <c r="AO54" s="24"/>
      <c r="AP54" s="24"/>
      <c r="AQ54" s="24"/>
    </row>
    <row r="55" spans="1:43">
      <c r="AA55" s="24"/>
      <c r="AI55" s="24"/>
      <c r="AJ55" s="24"/>
      <c r="AK55" s="24"/>
      <c r="AM55" s="24"/>
      <c r="AN55" s="24"/>
      <c r="AP55" s="24"/>
    </row>
    <row r="56" spans="1:43">
      <c r="A56" t="s">
        <v>1</v>
      </c>
      <c r="B56">
        <v>510</v>
      </c>
      <c r="C56">
        <v>744</v>
      </c>
      <c r="D56">
        <f t="shared" ref="D56:D58" si="16">B56/C56*100</f>
        <v>68.548387096774192</v>
      </c>
      <c r="G56" t="s">
        <v>1</v>
      </c>
      <c r="H56">
        <v>442</v>
      </c>
      <c r="I56">
        <v>744</v>
      </c>
      <c r="J56">
        <f t="shared" ref="J56:J58" si="17">H56/I56*100</f>
        <v>59.408602150537639</v>
      </c>
      <c r="L56" t="s">
        <v>317</v>
      </c>
      <c r="M56" t="s">
        <v>332</v>
      </c>
      <c r="N56" t="s">
        <v>280</v>
      </c>
      <c r="O56" t="s">
        <v>280</v>
      </c>
      <c r="P56" t="s">
        <v>340</v>
      </c>
      <c r="Q56" t="s">
        <v>333</v>
      </c>
      <c r="R56" t="s">
        <v>279</v>
      </c>
      <c r="S56" t="s">
        <v>290</v>
      </c>
      <c r="T56" s="2" t="s">
        <v>359</v>
      </c>
      <c r="U56" t="s">
        <v>280</v>
      </c>
      <c r="V56" t="s">
        <v>287</v>
      </c>
      <c r="W56" s="2" t="s">
        <v>359</v>
      </c>
      <c r="X56" t="s">
        <v>332</v>
      </c>
      <c r="Y56" s="2" t="s">
        <v>101</v>
      </c>
      <c r="AA56" s="24"/>
      <c r="AB56" s="24"/>
      <c r="AC56" s="24"/>
      <c r="AD56" s="24"/>
      <c r="AE56" s="24"/>
      <c r="AF56" s="24"/>
      <c r="AG56" s="24"/>
      <c r="AH56" s="24"/>
      <c r="AI56" s="24"/>
      <c r="AK56" s="24"/>
      <c r="AM56" s="24"/>
      <c r="AN56" s="24"/>
      <c r="AP56" s="24"/>
    </row>
    <row r="57" spans="1:43">
      <c r="A57" t="s">
        <v>2</v>
      </c>
      <c r="B57">
        <v>423</v>
      </c>
      <c r="C57">
        <v>744</v>
      </c>
      <c r="D57">
        <f t="shared" si="16"/>
        <v>56.854838709677423</v>
      </c>
      <c r="G57" t="s">
        <v>2</v>
      </c>
      <c r="H57">
        <v>350</v>
      </c>
      <c r="I57">
        <v>744</v>
      </c>
      <c r="J57">
        <f t="shared" si="17"/>
        <v>47.043010752688176</v>
      </c>
      <c r="L57" t="s">
        <v>328</v>
      </c>
      <c r="M57" t="s">
        <v>332</v>
      </c>
      <c r="N57" t="s">
        <v>273</v>
      </c>
      <c r="O57" t="s">
        <v>273</v>
      </c>
      <c r="P57" t="s">
        <v>341</v>
      </c>
      <c r="Q57" t="s">
        <v>351</v>
      </c>
      <c r="R57" s="28" t="s">
        <v>275</v>
      </c>
      <c r="S57" t="s">
        <v>277</v>
      </c>
      <c r="T57" s="2" t="s">
        <v>294</v>
      </c>
      <c r="U57" t="s">
        <v>363</v>
      </c>
      <c r="V57" t="s">
        <v>290</v>
      </c>
      <c r="W57" s="2" t="s">
        <v>296</v>
      </c>
      <c r="X57" t="s">
        <v>311</v>
      </c>
      <c r="Y57" s="2" t="s">
        <v>371</v>
      </c>
      <c r="AA57" s="24"/>
      <c r="AB57" s="24"/>
      <c r="AC57" s="24"/>
      <c r="AD57" s="24"/>
      <c r="AE57" s="24"/>
      <c r="AF57" s="24"/>
      <c r="AG57" s="24"/>
      <c r="AI57" s="24"/>
      <c r="AJ57" s="24"/>
      <c r="AN57" s="24"/>
      <c r="AP57" s="24"/>
    </row>
    <row r="58" spans="1:43">
      <c r="A58" t="s">
        <v>0</v>
      </c>
      <c r="B58">
        <v>320</v>
      </c>
      <c r="C58">
        <v>744</v>
      </c>
      <c r="D58">
        <f t="shared" si="16"/>
        <v>43.01075268817204</v>
      </c>
      <c r="G58" t="s">
        <v>0</v>
      </c>
      <c r="H58">
        <v>253</v>
      </c>
      <c r="I58">
        <v>743</v>
      </c>
      <c r="J58">
        <f t="shared" si="17"/>
        <v>34.05114401076716</v>
      </c>
      <c r="L58" t="s">
        <v>329</v>
      </c>
      <c r="M58" t="s">
        <v>286</v>
      </c>
      <c r="N58" t="s">
        <v>273</v>
      </c>
      <c r="O58" t="s">
        <v>310</v>
      </c>
      <c r="P58" s="2" t="s">
        <v>342</v>
      </c>
      <c r="Q58" t="s">
        <v>285</v>
      </c>
      <c r="R58" t="s">
        <v>356</v>
      </c>
      <c r="S58" s="2" t="s">
        <v>357</v>
      </c>
      <c r="T58" s="2" t="s">
        <v>360</v>
      </c>
      <c r="U58" s="2" t="s">
        <v>358</v>
      </c>
      <c r="V58" s="3" t="s">
        <v>358</v>
      </c>
      <c r="W58" s="2" t="s">
        <v>294</v>
      </c>
      <c r="X58" t="s">
        <v>338</v>
      </c>
      <c r="Y58" s="2" t="s">
        <v>372</v>
      </c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</row>
    <row r="59" spans="1:43">
      <c r="T59" s="2"/>
      <c r="W59" s="2"/>
      <c r="Y59" s="2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M59" s="24"/>
      <c r="AN59" s="24"/>
      <c r="AP59" s="24"/>
    </row>
    <row r="60" spans="1:43">
      <c r="A60" t="s">
        <v>3</v>
      </c>
      <c r="B60">
        <v>529</v>
      </c>
      <c r="C60">
        <v>744</v>
      </c>
      <c r="D60">
        <f t="shared" ref="D60:D62" si="18">B60/C60*100</f>
        <v>71.102150537634415</v>
      </c>
      <c r="G60" t="s">
        <v>3</v>
      </c>
      <c r="H60">
        <v>476</v>
      </c>
      <c r="I60">
        <v>744</v>
      </c>
      <c r="J60">
        <f t="shared" ref="J60:J62" si="19">H60/I60*100</f>
        <v>63.978494623655912</v>
      </c>
      <c r="L60" t="s">
        <v>321</v>
      </c>
      <c r="M60" t="s">
        <v>290</v>
      </c>
      <c r="N60" t="s">
        <v>276</v>
      </c>
      <c r="O60" t="s">
        <v>332</v>
      </c>
      <c r="P60" t="s">
        <v>343</v>
      </c>
      <c r="Q60" t="s">
        <v>352</v>
      </c>
      <c r="R60" t="s">
        <v>279</v>
      </c>
      <c r="S60" t="s">
        <v>286</v>
      </c>
      <c r="T60" s="2" t="s">
        <v>297</v>
      </c>
      <c r="U60" t="s">
        <v>336</v>
      </c>
      <c r="V60" t="s">
        <v>333</v>
      </c>
      <c r="W60" s="2" t="s">
        <v>293</v>
      </c>
      <c r="X60" t="s">
        <v>332</v>
      </c>
      <c r="Y60" s="2" t="s">
        <v>100</v>
      </c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M60" s="24"/>
      <c r="AN60" s="24"/>
      <c r="AP60" s="24"/>
    </row>
    <row r="61" spans="1:43">
      <c r="A61" t="s">
        <v>4</v>
      </c>
      <c r="B61">
        <v>481</v>
      </c>
      <c r="C61">
        <v>744</v>
      </c>
      <c r="D61">
        <f>B61/C61*100</f>
        <v>64.650537634408607</v>
      </c>
      <c r="G61" t="s">
        <v>4</v>
      </c>
      <c r="H61">
        <v>414</v>
      </c>
      <c r="I61">
        <v>744</v>
      </c>
      <c r="J61">
        <f t="shared" si="19"/>
        <v>55.645161290322577</v>
      </c>
      <c r="L61" t="s">
        <v>330</v>
      </c>
      <c r="M61" t="s">
        <v>290</v>
      </c>
      <c r="N61" t="s">
        <v>277</v>
      </c>
      <c r="O61" t="s">
        <v>290</v>
      </c>
      <c r="P61" t="s">
        <v>344</v>
      </c>
      <c r="Q61" t="s">
        <v>288</v>
      </c>
      <c r="R61" t="s">
        <v>310</v>
      </c>
      <c r="S61" t="s">
        <v>313</v>
      </c>
      <c r="T61" s="2" t="s">
        <v>360</v>
      </c>
      <c r="U61" t="s">
        <v>335</v>
      </c>
      <c r="V61" t="s">
        <v>365</v>
      </c>
      <c r="W61" s="2" t="s">
        <v>367</v>
      </c>
      <c r="X61" t="s">
        <v>313</v>
      </c>
      <c r="Y61" s="2" t="s">
        <v>373</v>
      </c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M61" s="24"/>
      <c r="AN61" s="24"/>
      <c r="AP61" s="24"/>
    </row>
    <row r="62" spans="1:43">
      <c r="A62" t="s">
        <v>5</v>
      </c>
      <c r="B62">
        <v>436</v>
      </c>
      <c r="C62">
        <v>744</v>
      </c>
      <c r="D62">
        <f t="shared" si="18"/>
        <v>58.602150537634415</v>
      </c>
      <c r="G62" t="s">
        <v>5</v>
      </c>
      <c r="H62">
        <v>357</v>
      </c>
      <c r="I62">
        <v>744</v>
      </c>
      <c r="J62">
        <f t="shared" si="19"/>
        <v>47.983870967741936</v>
      </c>
      <c r="L62" t="s">
        <v>328</v>
      </c>
      <c r="M62" t="s">
        <v>282</v>
      </c>
      <c r="N62" t="s">
        <v>308</v>
      </c>
      <c r="O62" t="s">
        <v>283</v>
      </c>
      <c r="P62" t="s">
        <v>345</v>
      </c>
      <c r="Q62" t="s">
        <v>273</v>
      </c>
      <c r="R62" t="s">
        <v>311</v>
      </c>
      <c r="S62" t="s">
        <v>279</v>
      </c>
      <c r="T62" s="2" t="s">
        <v>359</v>
      </c>
      <c r="U62" t="s">
        <v>273</v>
      </c>
      <c r="V62" t="s">
        <v>335</v>
      </c>
      <c r="W62" s="2" t="s">
        <v>368</v>
      </c>
      <c r="X62" t="s">
        <v>285</v>
      </c>
      <c r="Y62" s="2" t="s">
        <v>106</v>
      </c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</row>
    <row r="63" spans="1:43">
      <c r="T63" s="2"/>
      <c r="W63" s="2"/>
      <c r="Y63" s="2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M63" s="24"/>
      <c r="AN63" s="24"/>
      <c r="AP63" s="24"/>
    </row>
    <row r="64" spans="1:43">
      <c r="A64" t="s">
        <v>6</v>
      </c>
      <c r="B64">
        <v>555</v>
      </c>
      <c r="C64">
        <v>744</v>
      </c>
      <c r="D64">
        <f t="shared" ref="D64:D66" si="20">B64/C64*100</f>
        <v>74.596774193548384</v>
      </c>
      <c r="G64" t="s">
        <v>6</v>
      </c>
      <c r="H64">
        <v>599</v>
      </c>
      <c r="I64">
        <v>744</v>
      </c>
      <c r="J64">
        <f t="shared" ref="J64:J66" si="21">H64/I64*100</f>
        <v>80.510752688172033</v>
      </c>
      <c r="L64" t="s">
        <v>320</v>
      </c>
      <c r="M64" t="s">
        <v>333</v>
      </c>
      <c r="N64" t="s">
        <v>335</v>
      </c>
      <c r="O64" t="s">
        <v>286</v>
      </c>
      <c r="P64" t="s">
        <v>346</v>
      </c>
      <c r="Q64" t="s">
        <v>353</v>
      </c>
      <c r="R64" t="s">
        <v>287</v>
      </c>
      <c r="S64" t="s">
        <v>284</v>
      </c>
      <c r="T64" s="2" t="s">
        <v>295</v>
      </c>
      <c r="U64" t="s">
        <v>284</v>
      </c>
      <c r="V64" t="s">
        <v>290</v>
      </c>
      <c r="W64" s="2" t="s">
        <v>297</v>
      </c>
      <c r="X64" t="s">
        <v>287</v>
      </c>
      <c r="Y64" s="2" t="s">
        <v>374</v>
      </c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M64" s="24"/>
      <c r="AN64" s="24"/>
      <c r="AP64" s="24"/>
    </row>
    <row r="65" spans="1:43">
      <c r="A65" t="s">
        <v>7</v>
      </c>
      <c r="B65">
        <v>500</v>
      </c>
      <c r="C65">
        <v>744</v>
      </c>
      <c r="D65">
        <f t="shared" si="20"/>
        <v>67.204301075268816</v>
      </c>
      <c r="G65" t="s">
        <v>7</v>
      </c>
      <c r="H65">
        <v>581</v>
      </c>
      <c r="I65">
        <v>744</v>
      </c>
      <c r="J65">
        <f t="shared" si="21"/>
        <v>78.091397849462368</v>
      </c>
      <c r="L65" t="s">
        <v>321</v>
      </c>
      <c r="M65" t="s">
        <v>334</v>
      </c>
      <c r="N65" t="s">
        <v>336</v>
      </c>
      <c r="O65" t="s">
        <v>336</v>
      </c>
      <c r="P65" t="s">
        <v>347</v>
      </c>
      <c r="Q65" t="s">
        <v>287</v>
      </c>
      <c r="R65" t="s">
        <v>336</v>
      </c>
      <c r="S65" t="s">
        <v>284</v>
      </c>
      <c r="T65" s="2" t="s">
        <v>293</v>
      </c>
      <c r="U65" t="s">
        <v>284</v>
      </c>
      <c r="V65" t="s">
        <v>334</v>
      </c>
      <c r="W65" s="2" t="s">
        <v>297</v>
      </c>
      <c r="X65" t="s">
        <v>334</v>
      </c>
      <c r="Y65" s="2" t="s">
        <v>373</v>
      </c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M65" s="24"/>
      <c r="AN65" s="24"/>
      <c r="AP65" s="24"/>
    </row>
    <row r="66" spans="1:43">
      <c r="A66" t="s">
        <v>8</v>
      </c>
      <c r="B66">
        <v>508</v>
      </c>
      <c r="C66">
        <v>744</v>
      </c>
      <c r="D66">
        <f t="shared" si="20"/>
        <v>68.27956989247312</v>
      </c>
      <c r="G66" t="s">
        <v>8</v>
      </c>
      <c r="H66">
        <v>557</v>
      </c>
      <c r="I66">
        <v>744</v>
      </c>
      <c r="J66">
        <f t="shared" si="21"/>
        <v>74.865591397849457</v>
      </c>
      <c r="L66" t="s">
        <v>321</v>
      </c>
      <c r="M66" t="s">
        <v>288</v>
      </c>
      <c r="N66" t="s">
        <v>283</v>
      </c>
      <c r="O66" t="s">
        <v>313</v>
      </c>
      <c r="P66" t="s">
        <v>348</v>
      </c>
      <c r="Q66" t="s">
        <v>286</v>
      </c>
      <c r="R66" t="s">
        <v>280</v>
      </c>
      <c r="S66" t="s">
        <v>282</v>
      </c>
      <c r="T66" s="2" t="s">
        <v>360</v>
      </c>
      <c r="U66" t="s">
        <v>284</v>
      </c>
      <c r="V66" t="s">
        <v>336</v>
      </c>
      <c r="W66" s="2" t="s">
        <v>297</v>
      </c>
      <c r="X66" t="s">
        <v>336</v>
      </c>
      <c r="Y66" s="2" t="s">
        <v>106</v>
      </c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>
      <c r="T67" s="2"/>
      <c r="W67" s="2"/>
      <c r="Y67" s="2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M67" s="24"/>
      <c r="AN67" s="24"/>
      <c r="AP67" s="24"/>
    </row>
    <row r="68" spans="1:43">
      <c r="A68" t="s">
        <v>9</v>
      </c>
      <c r="B68">
        <v>556</v>
      </c>
      <c r="C68">
        <v>744</v>
      </c>
      <c r="D68">
        <f t="shared" ref="D68:D70" si="22">B68/C68*100</f>
        <v>74.731182795698928</v>
      </c>
      <c r="G68" t="s">
        <v>9</v>
      </c>
      <c r="H68">
        <v>500</v>
      </c>
      <c r="I68">
        <v>744</v>
      </c>
      <c r="J68">
        <f t="shared" ref="J68:J70" si="23">H68/I68*100</f>
        <v>67.204301075268816</v>
      </c>
      <c r="L68" t="s">
        <v>320</v>
      </c>
      <c r="M68" t="s">
        <v>289</v>
      </c>
      <c r="N68" t="s">
        <v>337</v>
      </c>
      <c r="O68" t="s">
        <v>332</v>
      </c>
      <c r="P68" t="s">
        <v>349</v>
      </c>
      <c r="Q68" t="s">
        <v>352</v>
      </c>
      <c r="R68" t="s">
        <v>332</v>
      </c>
      <c r="S68" t="s">
        <v>286</v>
      </c>
      <c r="T68" s="2" t="s">
        <v>361</v>
      </c>
      <c r="U68" t="s">
        <v>284</v>
      </c>
      <c r="V68" t="s">
        <v>287</v>
      </c>
      <c r="W68" s="2" t="s">
        <v>297</v>
      </c>
      <c r="X68" t="s">
        <v>290</v>
      </c>
      <c r="Y68" s="2" t="s">
        <v>101</v>
      </c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M68" s="24"/>
      <c r="AN68" s="24"/>
      <c r="AP68" s="24"/>
    </row>
    <row r="69" spans="1:43">
      <c r="A69" t="s">
        <v>10</v>
      </c>
      <c r="B69">
        <v>549</v>
      </c>
      <c r="C69">
        <v>744</v>
      </c>
      <c r="D69">
        <f t="shared" si="22"/>
        <v>73.790322580645167</v>
      </c>
      <c r="G69" t="s">
        <v>10</v>
      </c>
      <c r="H69">
        <v>491</v>
      </c>
      <c r="I69">
        <v>744</v>
      </c>
      <c r="J69">
        <f t="shared" si="23"/>
        <v>65.994623655913969</v>
      </c>
      <c r="L69" t="s">
        <v>320</v>
      </c>
      <c r="M69" t="s">
        <v>289</v>
      </c>
      <c r="N69" t="s">
        <v>283</v>
      </c>
      <c r="O69" t="s">
        <v>332</v>
      </c>
      <c r="P69" t="s">
        <v>346</v>
      </c>
      <c r="Q69" t="s">
        <v>352</v>
      </c>
      <c r="R69" t="s">
        <v>290</v>
      </c>
      <c r="S69" t="s">
        <v>290</v>
      </c>
      <c r="T69" s="2" t="s">
        <v>293</v>
      </c>
      <c r="U69" t="s">
        <v>284</v>
      </c>
      <c r="V69" t="s">
        <v>332</v>
      </c>
      <c r="W69" s="2" t="s">
        <v>297</v>
      </c>
      <c r="X69" t="s">
        <v>284</v>
      </c>
      <c r="Y69" s="2" t="s">
        <v>101</v>
      </c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M69" s="24"/>
      <c r="AN69" s="24"/>
      <c r="AP69" s="24"/>
    </row>
    <row r="70" spans="1:43">
      <c r="A70" t="s">
        <v>11</v>
      </c>
      <c r="B70">
        <v>554</v>
      </c>
      <c r="C70">
        <v>744</v>
      </c>
      <c r="D70">
        <f t="shared" si="22"/>
        <v>74.462365591397855</v>
      </c>
      <c r="G70" t="s">
        <v>11</v>
      </c>
      <c r="H70">
        <v>498</v>
      </c>
      <c r="I70">
        <v>744</v>
      </c>
      <c r="J70">
        <f t="shared" si="23"/>
        <v>66.935483870967744</v>
      </c>
      <c r="L70" t="s">
        <v>320</v>
      </c>
      <c r="M70" t="s">
        <v>288</v>
      </c>
      <c r="N70" t="s">
        <v>313</v>
      </c>
      <c r="O70" t="s">
        <v>332</v>
      </c>
      <c r="P70" t="s">
        <v>340</v>
      </c>
      <c r="Q70" t="s">
        <v>352</v>
      </c>
      <c r="R70" t="s">
        <v>332</v>
      </c>
      <c r="S70" t="s">
        <v>336</v>
      </c>
      <c r="T70" s="2" t="s">
        <v>293</v>
      </c>
      <c r="U70" t="s">
        <v>284</v>
      </c>
      <c r="V70" t="s">
        <v>282</v>
      </c>
      <c r="W70" s="2" t="s">
        <v>297</v>
      </c>
      <c r="X70" t="s">
        <v>365</v>
      </c>
      <c r="Y70" s="2" t="s">
        <v>101</v>
      </c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>
      <c r="T71" s="2"/>
      <c r="W71" s="2"/>
      <c r="Y71" s="2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M71" s="24"/>
      <c r="AN71" s="24"/>
      <c r="AP71" s="24"/>
    </row>
    <row r="72" spans="1:43">
      <c r="A72" t="s">
        <v>377</v>
      </c>
      <c r="B72">
        <v>498</v>
      </c>
      <c r="C72">
        <v>744</v>
      </c>
      <c r="D72">
        <f t="shared" ref="D72:D74" si="24">B72/C72*100</f>
        <v>66.935483870967744</v>
      </c>
      <c r="G72" t="s">
        <v>377</v>
      </c>
      <c r="H72">
        <v>449</v>
      </c>
      <c r="I72">
        <v>744</v>
      </c>
      <c r="J72">
        <f t="shared" ref="J72:J74" si="25">H72/I72*100</f>
        <v>60.3494623655914</v>
      </c>
      <c r="L72" t="s">
        <v>320</v>
      </c>
      <c r="M72" t="s">
        <v>284</v>
      </c>
      <c r="N72" t="s">
        <v>273</v>
      </c>
      <c r="O72" t="s">
        <v>332</v>
      </c>
      <c r="P72" t="s">
        <v>347</v>
      </c>
      <c r="Q72" t="s">
        <v>354</v>
      </c>
      <c r="R72" t="s">
        <v>308</v>
      </c>
      <c r="S72" t="s">
        <v>312</v>
      </c>
      <c r="T72" s="2" t="s">
        <v>295</v>
      </c>
      <c r="U72" t="s">
        <v>284</v>
      </c>
      <c r="V72" t="s">
        <v>287</v>
      </c>
      <c r="W72" s="2" t="s">
        <v>297</v>
      </c>
      <c r="X72" t="s">
        <v>277</v>
      </c>
      <c r="Y72" s="2" t="s">
        <v>103</v>
      </c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M72" s="24"/>
      <c r="AN72" s="24"/>
      <c r="AP72" s="24"/>
    </row>
    <row r="73" spans="1:43">
      <c r="A73" t="s">
        <v>378</v>
      </c>
      <c r="B73">
        <v>462</v>
      </c>
      <c r="C73">
        <v>744</v>
      </c>
      <c r="D73">
        <f t="shared" si="24"/>
        <v>62.096774193548384</v>
      </c>
      <c r="G73" t="s">
        <v>378</v>
      </c>
      <c r="H73">
        <v>428</v>
      </c>
      <c r="I73">
        <v>744</v>
      </c>
      <c r="J73">
        <f t="shared" si="25"/>
        <v>57.526881720430111</v>
      </c>
      <c r="L73" t="s">
        <v>320</v>
      </c>
      <c r="M73" t="s">
        <v>287</v>
      </c>
      <c r="N73" t="s">
        <v>338</v>
      </c>
      <c r="O73" t="s">
        <v>279</v>
      </c>
      <c r="P73" t="s">
        <v>340</v>
      </c>
      <c r="Q73" t="s">
        <v>284</v>
      </c>
      <c r="R73" t="s">
        <v>335</v>
      </c>
      <c r="S73" t="s">
        <v>280</v>
      </c>
      <c r="T73" s="2" t="s">
        <v>361</v>
      </c>
      <c r="U73" t="s">
        <v>284</v>
      </c>
      <c r="V73" t="s">
        <v>282</v>
      </c>
      <c r="W73" s="2" t="s">
        <v>297</v>
      </c>
      <c r="X73" t="s">
        <v>369</v>
      </c>
      <c r="Y73" s="2" t="s">
        <v>106</v>
      </c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M73" s="24"/>
      <c r="AN73" s="24"/>
      <c r="AP73" s="24"/>
    </row>
    <row r="74" spans="1:43">
      <c r="A74" t="s">
        <v>379</v>
      </c>
      <c r="B74">
        <v>426</v>
      </c>
      <c r="C74">
        <v>744</v>
      </c>
      <c r="D74">
        <f t="shared" si="24"/>
        <v>57.258064516129039</v>
      </c>
      <c r="G74" t="s">
        <v>379</v>
      </c>
      <c r="H74">
        <v>391</v>
      </c>
      <c r="I74">
        <v>744</v>
      </c>
      <c r="J74">
        <f t="shared" si="25"/>
        <v>52.553763440860216</v>
      </c>
      <c r="L74" t="s">
        <v>320</v>
      </c>
      <c r="M74" t="s">
        <v>334</v>
      </c>
      <c r="N74" t="s">
        <v>312</v>
      </c>
      <c r="O74" t="s">
        <v>313</v>
      </c>
      <c r="P74" t="s">
        <v>340</v>
      </c>
      <c r="Q74" t="s">
        <v>277</v>
      </c>
      <c r="R74" t="s">
        <v>285</v>
      </c>
      <c r="S74" t="s">
        <v>358</v>
      </c>
      <c r="T74" s="2" t="s">
        <v>360</v>
      </c>
      <c r="U74" t="s">
        <v>284</v>
      </c>
      <c r="V74" t="s">
        <v>287</v>
      </c>
      <c r="W74" s="2" t="s">
        <v>297</v>
      </c>
      <c r="X74" t="s">
        <v>338</v>
      </c>
      <c r="Y74" s="2" t="s">
        <v>375</v>
      </c>
    </row>
    <row r="77" spans="1:43">
      <c r="A77" t="s">
        <v>205</v>
      </c>
      <c r="L77" s="27"/>
    </row>
    <row r="78" spans="1:43">
      <c r="A78" s="45" t="s">
        <v>206</v>
      </c>
      <c r="B78" s="45"/>
      <c r="C78" s="45"/>
      <c r="D78" s="45"/>
      <c r="G78" s="46" t="s">
        <v>380</v>
      </c>
      <c r="H78" s="46"/>
      <c r="I78" s="46"/>
      <c r="J78" s="46"/>
      <c r="L78">
        <v>4</v>
      </c>
      <c r="M78">
        <v>5</v>
      </c>
      <c r="N78">
        <v>6</v>
      </c>
      <c r="O78">
        <v>8</v>
      </c>
      <c r="P78">
        <v>12</v>
      </c>
      <c r="Q78">
        <v>13</v>
      </c>
      <c r="R78">
        <v>14</v>
      </c>
      <c r="S78">
        <v>15</v>
      </c>
      <c r="T78">
        <v>18</v>
      </c>
      <c r="U78">
        <v>22</v>
      </c>
      <c r="V78">
        <v>23</v>
      </c>
      <c r="W78">
        <v>25</v>
      </c>
      <c r="X78">
        <v>29</v>
      </c>
      <c r="Y78">
        <v>33</v>
      </c>
      <c r="Z78">
        <v>37</v>
      </c>
      <c r="AA78">
        <v>41</v>
      </c>
      <c r="AB78">
        <v>45</v>
      </c>
      <c r="AC78">
        <v>49</v>
      </c>
      <c r="AD78">
        <v>50</v>
      </c>
      <c r="AG78" s="6" t="s">
        <v>107</v>
      </c>
      <c r="AH78" s="7"/>
      <c r="AI78" s="7"/>
      <c r="AJ78" s="7"/>
      <c r="AK78" s="7"/>
    </row>
    <row r="79" spans="1:43">
      <c r="A79" s="1" t="s">
        <v>12</v>
      </c>
      <c r="B79" s="1" t="s">
        <v>13</v>
      </c>
      <c r="C79" s="1" t="s">
        <v>14</v>
      </c>
      <c r="D79" s="1" t="s">
        <v>15</v>
      </c>
      <c r="G79" s="1" t="s">
        <v>12</v>
      </c>
      <c r="H79" s="1" t="s">
        <v>13</v>
      </c>
      <c r="I79" s="1" t="s">
        <v>14</v>
      </c>
      <c r="J79" s="1" t="s">
        <v>15</v>
      </c>
      <c r="P79" s="2"/>
      <c r="Q79" s="2"/>
      <c r="R79" s="2"/>
      <c r="S79" s="2"/>
      <c r="T79" s="2"/>
      <c r="U79" s="2"/>
      <c r="V79" s="2"/>
      <c r="W79" s="2"/>
      <c r="X79" s="2"/>
      <c r="Y79" s="2"/>
      <c r="AG79" s="4" t="s">
        <v>108</v>
      </c>
      <c r="AH79" s="4" t="s">
        <v>109</v>
      </c>
      <c r="AI79" s="4" t="s">
        <v>111</v>
      </c>
      <c r="AJ79" s="4" t="s">
        <v>170</v>
      </c>
      <c r="AK79" s="4" t="s">
        <v>180</v>
      </c>
    </row>
    <row r="80" spans="1:43">
      <c r="A80" t="s">
        <v>16</v>
      </c>
      <c r="B80">
        <v>151</v>
      </c>
      <c r="C80">
        <v>200</v>
      </c>
      <c r="D80">
        <f>B80/C80*100</f>
        <v>75.5</v>
      </c>
      <c r="F80" s="2"/>
      <c r="G80" t="s">
        <v>16</v>
      </c>
      <c r="H80">
        <v>150</v>
      </c>
      <c r="I80">
        <v>200</v>
      </c>
      <c r="J80">
        <f>H80/I80*100</f>
        <v>75</v>
      </c>
      <c r="L80" t="s">
        <v>381</v>
      </c>
      <c r="M80" s="2" t="s">
        <v>394</v>
      </c>
      <c r="N80" s="2" t="s">
        <v>394</v>
      </c>
      <c r="O80" s="2" t="s">
        <v>403</v>
      </c>
      <c r="P80" s="2" t="s">
        <v>407</v>
      </c>
      <c r="Q80" s="2" t="s">
        <v>413</v>
      </c>
      <c r="R80" s="2" t="s">
        <v>394</v>
      </c>
      <c r="S80" s="2" t="s">
        <v>394</v>
      </c>
      <c r="T80" s="2" t="s">
        <v>400</v>
      </c>
      <c r="U80" s="2" t="s">
        <v>429</v>
      </c>
      <c r="V80" s="2" t="s">
        <v>435</v>
      </c>
      <c r="W80" s="2" t="s">
        <v>403</v>
      </c>
      <c r="X80" s="2" t="s">
        <v>445</v>
      </c>
      <c r="Y80" s="2" t="s">
        <v>429</v>
      </c>
      <c r="Z80" s="2" t="s">
        <v>381</v>
      </c>
      <c r="AA80" s="2" t="s">
        <v>429</v>
      </c>
      <c r="AB80" s="2" t="s">
        <v>445</v>
      </c>
      <c r="AC80" s="2" t="s">
        <v>445</v>
      </c>
      <c r="AD80" s="2" t="s">
        <v>456</v>
      </c>
      <c r="AE80" s="2"/>
      <c r="AF80" s="2"/>
      <c r="AG80" s="9">
        <v>207</v>
      </c>
      <c r="AH80" t="s">
        <v>459</v>
      </c>
      <c r="AI80" t="s">
        <v>376</v>
      </c>
      <c r="AJ80" t="s">
        <v>190</v>
      </c>
      <c r="AK80" s="2" t="s">
        <v>457</v>
      </c>
    </row>
    <row r="81" spans="1:37">
      <c r="F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30" t="s">
        <v>458</v>
      </c>
      <c r="AH81" t="s">
        <v>174</v>
      </c>
      <c r="AI81" t="s">
        <v>460</v>
      </c>
      <c r="AJ81" t="s">
        <v>531</v>
      </c>
      <c r="AK81" s="2" t="s">
        <v>415</v>
      </c>
    </row>
    <row r="82" spans="1:37">
      <c r="A82" t="s">
        <v>1</v>
      </c>
      <c r="B82">
        <v>407</v>
      </c>
      <c r="C82">
        <v>600</v>
      </c>
      <c r="D82">
        <f t="shared" ref="D82:D84" si="26">B82/C82*100</f>
        <v>67.833333333333329</v>
      </c>
      <c r="F82" s="2"/>
      <c r="G82" t="s">
        <v>1</v>
      </c>
      <c r="H82">
        <v>373</v>
      </c>
      <c r="I82">
        <v>600</v>
      </c>
      <c r="J82">
        <f t="shared" ref="J82:J84" si="27">H82/I82*100</f>
        <v>62.166666666666671</v>
      </c>
      <c r="L82" t="s">
        <v>382</v>
      </c>
      <c r="M82" s="2" t="s">
        <v>395</v>
      </c>
      <c r="N82" s="2" t="s">
        <v>399</v>
      </c>
      <c r="O82" s="2" t="s">
        <v>224</v>
      </c>
      <c r="P82" s="2" t="s">
        <v>390</v>
      </c>
      <c r="Q82" s="2" t="s">
        <v>398</v>
      </c>
      <c r="R82" s="2" t="s">
        <v>399</v>
      </c>
      <c r="S82" s="2" t="s">
        <v>395</v>
      </c>
      <c r="T82" s="2" t="s">
        <v>418</v>
      </c>
      <c r="U82" s="2" t="s">
        <v>388</v>
      </c>
      <c r="V82" s="2" t="s">
        <v>436</v>
      </c>
      <c r="W82" s="2" t="s">
        <v>438</v>
      </c>
      <c r="X82" s="2" t="s">
        <v>393</v>
      </c>
      <c r="Y82" s="2" t="s">
        <v>393</v>
      </c>
      <c r="Z82" s="2" t="s">
        <v>388</v>
      </c>
      <c r="AA82" s="2" t="s">
        <v>393</v>
      </c>
      <c r="AB82" s="2" t="s">
        <v>411</v>
      </c>
      <c r="AC82" s="2" t="s">
        <v>382</v>
      </c>
      <c r="AD82" s="2" t="s">
        <v>398</v>
      </c>
      <c r="AE82" s="2"/>
      <c r="AF82" s="2"/>
      <c r="AG82" s="31" t="s">
        <v>461</v>
      </c>
      <c r="AH82" t="s">
        <v>192</v>
      </c>
      <c r="AI82" t="s">
        <v>376</v>
      </c>
      <c r="AJ82" t="s">
        <v>190</v>
      </c>
      <c r="AK82" s="2" t="s">
        <v>548</v>
      </c>
    </row>
    <row r="83" spans="1:37">
      <c r="A83" t="s">
        <v>2</v>
      </c>
      <c r="B83">
        <v>312</v>
      </c>
      <c r="C83">
        <v>600</v>
      </c>
      <c r="D83">
        <f t="shared" si="26"/>
        <v>52</v>
      </c>
      <c r="F83" s="2"/>
      <c r="G83" t="s">
        <v>2</v>
      </c>
      <c r="H83">
        <v>267</v>
      </c>
      <c r="I83">
        <v>600</v>
      </c>
      <c r="J83">
        <f t="shared" si="27"/>
        <v>44.5</v>
      </c>
      <c r="L83" s="2" t="s">
        <v>383</v>
      </c>
      <c r="M83" s="2" t="s">
        <v>396</v>
      </c>
      <c r="N83" s="2" t="s">
        <v>400</v>
      </c>
      <c r="O83" s="2" t="s">
        <v>404</v>
      </c>
      <c r="P83" s="2" t="s">
        <v>408</v>
      </c>
      <c r="Q83" s="2" t="s">
        <v>414</v>
      </c>
      <c r="R83" s="2" t="s">
        <v>401</v>
      </c>
      <c r="S83" s="2" t="s">
        <v>398</v>
      </c>
      <c r="T83" s="2" t="s">
        <v>419</v>
      </c>
      <c r="U83" s="2" t="s">
        <v>392</v>
      </c>
      <c r="V83" s="2" t="s">
        <v>397</v>
      </c>
      <c r="W83" s="34" t="s">
        <v>474</v>
      </c>
      <c r="X83" s="2" t="s">
        <v>446</v>
      </c>
      <c r="Y83" s="2" t="s">
        <v>386</v>
      </c>
      <c r="Z83" s="2" t="s">
        <v>451</v>
      </c>
      <c r="AA83" s="2" t="s">
        <v>390</v>
      </c>
      <c r="AB83" s="2" t="s">
        <v>409</v>
      </c>
      <c r="AC83" s="2" t="s">
        <v>382</v>
      </c>
      <c r="AD83" s="2" t="s">
        <v>400</v>
      </c>
      <c r="AE83" s="2"/>
      <c r="AF83" s="2"/>
      <c r="AG83" s="31" t="s">
        <v>461</v>
      </c>
      <c r="AH83" t="s">
        <v>463</v>
      </c>
      <c r="AI83" t="s">
        <v>464</v>
      </c>
      <c r="AJ83" t="s">
        <v>532</v>
      </c>
      <c r="AK83" s="2" t="s">
        <v>462</v>
      </c>
    </row>
    <row r="84" spans="1:37">
      <c r="A84" t="s">
        <v>0</v>
      </c>
      <c r="B84">
        <v>238</v>
      </c>
      <c r="C84">
        <v>600</v>
      </c>
      <c r="D84">
        <f t="shared" si="26"/>
        <v>39.666666666666664</v>
      </c>
      <c r="F84" s="2"/>
      <c r="G84" t="s">
        <v>0</v>
      </c>
      <c r="H84">
        <v>196</v>
      </c>
      <c r="I84">
        <v>600</v>
      </c>
      <c r="J84">
        <f t="shared" si="27"/>
        <v>32.666666666666664</v>
      </c>
      <c r="L84" s="2" t="s">
        <v>384</v>
      </c>
      <c r="M84" s="2" t="s">
        <v>397</v>
      </c>
      <c r="N84" s="2" t="s">
        <v>402</v>
      </c>
      <c r="O84" s="2" t="s">
        <v>405</v>
      </c>
      <c r="P84" s="2" t="s">
        <v>383</v>
      </c>
      <c r="Q84" s="2" t="s">
        <v>398</v>
      </c>
      <c r="R84" s="30" t="s">
        <v>436</v>
      </c>
      <c r="S84" s="2" t="s">
        <v>417</v>
      </c>
      <c r="T84" s="2" t="s">
        <v>420</v>
      </c>
      <c r="U84" s="2" t="s">
        <v>430</v>
      </c>
      <c r="V84" s="2" t="s">
        <v>397</v>
      </c>
      <c r="W84" s="2" t="s">
        <v>440</v>
      </c>
      <c r="X84" s="2" t="s">
        <v>447</v>
      </c>
      <c r="Y84" s="2" t="s">
        <v>392</v>
      </c>
      <c r="Z84" s="2" t="s">
        <v>452</v>
      </c>
      <c r="AA84" s="2" t="s">
        <v>450</v>
      </c>
      <c r="AB84" s="2" t="s">
        <v>408</v>
      </c>
      <c r="AC84" s="2" t="s">
        <v>387</v>
      </c>
      <c r="AD84" s="2" t="s">
        <v>414</v>
      </c>
      <c r="AE84" s="2"/>
      <c r="AF84" s="2"/>
      <c r="AG84" s="31" t="s">
        <v>461</v>
      </c>
      <c r="AH84" t="s">
        <v>466</v>
      </c>
      <c r="AI84" s="2" t="s">
        <v>376</v>
      </c>
      <c r="AJ84" t="s">
        <v>190</v>
      </c>
      <c r="AK84" s="2" t="s">
        <v>465</v>
      </c>
    </row>
    <row r="85" spans="1:37">
      <c r="F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34" t="s">
        <v>467</v>
      </c>
      <c r="AH85" t="s">
        <v>468</v>
      </c>
      <c r="AI85" t="s">
        <v>464</v>
      </c>
      <c r="AJ85" t="s">
        <v>533</v>
      </c>
      <c r="AK85" s="2" t="s">
        <v>439</v>
      </c>
    </row>
    <row r="86" spans="1:37">
      <c r="A86" t="s">
        <v>3</v>
      </c>
      <c r="B86">
        <v>440</v>
      </c>
      <c r="C86">
        <v>600</v>
      </c>
      <c r="D86">
        <f t="shared" ref="D86" si="28">B86/C86*100</f>
        <v>73.333333333333329</v>
      </c>
      <c r="F86" s="2"/>
      <c r="G86" t="s">
        <v>3</v>
      </c>
      <c r="H86">
        <v>386</v>
      </c>
      <c r="I86">
        <v>600</v>
      </c>
      <c r="J86">
        <f t="shared" ref="J86:J88" si="29">H86/I86*100</f>
        <v>64.333333333333329</v>
      </c>
      <c r="L86" t="s">
        <v>385</v>
      </c>
      <c r="M86" s="2" t="s">
        <v>395</v>
      </c>
      <c r="N86" s="2" t="s">
        <v>399</v>
      </c>
      <c r="O86" s="2" t="s">
        <v>224</v>
      </c>
      <c r="P86" s="2" t="s">
        <v>409</v>
      </c>
      <c r="Q86" s="2" t="s">
        <v>401</v>
      </c>
      <c r="R86" s="2" t="s">
        <v>395</v>
      </c>
      <c r="S86" s="31" t="s">
        <v>396</v>
      </c>
      <c r="T86" s="2" t="s">
        <v>421</v>
      </c>
      <c r="U86" s="2" t="s">
        <v>431</v>
      </c>
      <c r="V86" s="2" t="s">
        <v>397</v>
      </c>
      <c r="W86" s="2" t="s">
        <v>441</v>
      </c>
      <c r="X86" s="2" t="s">
        <v>389</v>
      </c>
      <c r="Y86" s="2" t="s">
        <v>386</v>
      </c>
      <c r="Z86" s="2" t="s">
        <v>382</v>
      </c>
      <c r="AA86" s="2" t="s">
        <v>411</v>
      </c>
      <c r="AB86" s="2" t="s">
        <v>391</v>
      </c>
      <c r="AC86" s="2" t="s">
        <v>448</v>
      </c>
      <c r="AD86" s="2" t="s">
        <v>398</v>
      </c>
      <c r="AE86" s="2"/>
      <c r="AF86" s="2"/>
      <c r="AG86" s="33" t="s">
        <v>469</v>
      </c>
      <c r="AH86" s="2" t="s">
        <v>470</v>
      </c>
      <c r="AI86" s="2" t="s">
        <v>376</v>
      </c>
      <c r="AJ86" s="2" t="s">
        <v>535</v>
      </c>
      <c r="AK86" s="2" t="s">
        <v>453</v>
      </c>
    </row>
    <row r="87" spans="1:37">
      <c r="A87" t="s">
        <v>4</v>
      </c>
      <c r="B87">
        <v>403</v>
      </c>
      <c r="C87">
        <v>600</v>
      </c>
      <c r="D87">
        <f>B87/C87*100</f>
        <v>67.166666666666657</v>
      </c>
      <c r="F87" s="2"/>
      <c r="G87" t="s">
        <v>4</v>
      </c>
      <c r="H87">
        <v>329</v>
      </c>
      <c r="I87">
        <v>600</v>
      </c>
      <c r="J87">
        <f t="shared" si="29"/>
        <v>54.833333333333336</v>
      </c>
      <c r="L87" t="s">
        <v>386</v>
      </c>
      <c r="M87" s="2" t="s">
        <v>398</v>
      </c>
      <c r="N87" s="2" t="s">
        <v>398</v>
      </c>
      <c r="O87" s="2" t="s">
        <v>246</v>
      </c>
      <c r="P87" s="2" t="s">
        <v>410</v>
      </c>
      <c r="Q87" s="2" t="s">
        <v>401</v>
      </c>
      <c r="R87" s="2" t="s">
        <v>401</v>
      </c>
      <c r="S87" s="2" t="s">
        <v>401</v>
      </c>
      <c r="T87" s="2" t="s">
        <v>422</v>
      </c>
      <c r="U87" s="2" t="s">
        <v>431</v>
      </c>
      <c r="V87" s="2" t="s">
        <v>437</v>
      </c>
      <c r="W87" s="2" t="s">
        <v>258</v>
      </c>
      <c r="X87" s="2" t="s">
        <v>409</v>
      </c>
      <c r="Y87" s="2" t="s">
        <v>392</v>
      </c>
      <c r="Z87" s="2" t="s">
        <v>387</v>
      </c>
      <c r="AA87" s="2" t="s">
        <v>387</v>
      </c>
      <c r="AB87" s="2" t="s">
        <v>391</v>
      </c>
      <c r="AC87" s="2" t="s">
        <v>382</v>
      </c>
      <c r="AD87" s="2" t="s">
        <v>398</v>
      </c>
      <c r="AE87" s="2"/>
      <c r="AF87" s="2"/>
      <c r="AG87" s="33" t="s">
        <v>469</v>
      </c>
      <c r="AH87" t="s">
        <v>193</v>
      </c>
      <c r="AI87" s="2" t="s">
        <v>376</v>
      </c>
      <c r="AJ87" t="s">
        <v>534</v>
      </c>
      <c r="AK87" s="2" t="s">
        <v>454</v>
      </c>
    </row>
    <row r="88" spans="1:37">
      <c r="A88" t="s">
        <v>5</v>
      </c>
      <c r="B88">
        <v>355</v>
      </c>
      <c r="C88">
        <v>600</v>
      </c>
      <c r="D88">
        <f t="shared" ref="D88" si="30">B88/C88*100</f>
        <v>59.166666666666664</v>
      </c>
      <c r="F88" s="2"/>
      <c r="G88" t="s">
        <v>5</v>
      </c>
      <c r="H88">
        <v>267</v>
      </c>
      <c r="I88">
        <v>600</v>
      </c>
      <c r="J88">
        <f t="shared" si="29"/>
        <v>44.5</v>
      </c>
      <c r="L88" t="s">
        <v>387</v>
      </c>
      <c r="M88" s="2" t="s">
        <v>398</v>
      </c>
      <c r="N88" s="2" t="s">
        <v>400</v>
      </c>
      <c r="O88" s="29" t="s">
        <v>441</v>
      </c>
      <c r="P88" s="2" t="s">
        <v>410</v>
      </c>
      <c r="Q88" s="2" t="s">
        <v>414</v>
      </c>
      <c r="R88" s="2" t="s">
        <v>398</v>
      </c>
      <c r="S88" s="2" t="s">
        <v>398</v>
      </c>
      <c r="T88" s="2" t="s">
        <v>423</v>
      </c>
      <c r="U88" s="2" t="s">
        <v>392</v>
      </c>
      <c r="V88" s="2" t="s">
        <v>437</v>
      </c>
      <c r="W88" s="2" t="s">
        <v>442</v>
      </c>
      <c r="X88" s="2" t="s">
        <v>446</v>
      </c>
      <c r="Y88" s="2" t="s">
        <v>447</v>
      </c>
      <c r="Z88" s="2" t="s">
        <v>392</v>
      </c>
      <c r="AA88" s="2" t="s">
        <v>389</v>
      </c>
      <c r="AB88" s="2" t="s">
        <v>450</v>
      </c>
      <c r="AC88" s="2" t="s">
        <v>387</v>
      </c>
      <c r="AD88" s="2" t="s">
        <v>401</v>
      </c>
      <c r="AE88" s="2"/>
      <c r="AF88" s="2"/>
      <c r="AG88" s="2"/>
    </row>
    <row r="89" spans="1:37">
      <c r="F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7">
      <c r="A90" t="s">
        <v>6</v>
      </c>
      <c r="B90">
        <v>441</v>
      </c>
      <c r="C90">
        <v>600</v>
      </c>
      <c r="D90">
        <f t="shared" ref="D90:D92" si="31">B90/C90*100</f>
        <v>73.5</v>
      </c>
      <c r="F90" s="2"/>
      <c r="G90" t="s">
        <v>6</v>
      </c>
      <c r="H90">
        <v>410</v>
      </c>
      <c r="I90">
        <v>600</v>
      </c>
      <c r="J90">
        <f t="shared" ref="J90:J92" si="32">H90/I90*100</f>
        <v>68.333333333333329</v>
      </c>
      <c r="L90" t="s">
        <v>388</v>
      </c>
      <c r="M90" s="2" t="s">
        <v>399</v>
      </c>
      <c r="N90" s="2" t="s">
        <v>399</v>
      </c>
      <c r="O90" s="2" t="s">
        <v>258</v>
      </c>
      <c r="P90" s="2" t="s">
        <v>411</v>
      </c>
      <c r="Q90" s="2" t="s">
        <v>398</v>
      </c>
      <c r="R90" s="2" t="s">
        <v>395</v>
      </c>
      <c r="S90" s="2" t="s">
        <v>416</v>
      </c>
      <c r="T90" s="2" t="s">
        <v>424</v>
      </c>
      <c r="U90" s="2" t="s">
        <v>387</v>
      </c>
      <c r="V90" s="2" t="s">
        <v>417</v>
      </c>
      <c r="W90" s="2" t="s">
        <v>246</v>
      </c>
      <c r="X90" s="2" t="s">
        <v>382</v>
      </c>
      <c r="Y90" s="2" t="s">
        <v>386</v>
      </c>
      <c r="Z90" s="2" t="s">
        <v>448</v>
      </c>
      <c r="AA90" s="2" t="s">
        <v>388</v>
      </c>
      <c r="AB90" s="2" t="s">
        <v>432</v>
      </c>
      <c r="AC90" s="2" t="s">
        <v>432</v>
      </c>
      <c r="AD90" s="2" t="s">
        <v>400</v>
      </c>
      <c r="AE90" s="2"/>
      <c r="AF90" s="2"/>
      <c r="AG90" s="2"/>
    </row>
    <row r="91" spans="1:37">
      <c r="A91" t="s">
        <v>7</v>
      </c>
      <c r="B91">
        <v>421</v>
      </c>
      <c r="C91">
        <v>600</v>
      </c>
      <c r="D91">
        <f t="shared" si="31"/>
        <v>70.166666666666671</v>
      </c>
      <c r="F91" s="2"/>
      <c r="G91" t="s">
        <v>7</v>
      </c>
      <c r="H91">
        <v>381</v>
      </c>
      <c r="I91">
        <v>600</v>
      </c>
      <c r="J91">
        <f t="shared" si="32"/>
        <v>63.5</v>
      </c>
      <c r="L91" t="s">
        <v>388</v>
      </c>
      <c r="M91" s="2" t="s">
        <v>399</v>
      </c>
      <c r="N91" s="2" t="s">
        <v>399</v>
      </c>
      <c r="O91" s="2" t="s">
        <v>246</v>
      </c>
      <c r="P91" s="2" t="s">
        <v>412</v>
      </c>
      <c r="Q91" s="2" t="s">
        <v>396</v>
      </c>
      <c r="R91" s="2" t="s">
        <v>400</v>
      </c>
      <c r="S91" s="2" t="s">
        <v>401</v>
      </c>
      <c r="T91" s="2" t="s">
        <v>425</v>
      </c>
      <c r="U91" s="2" t="s">
        <v>382</v>
      </c>
      <c r="V91" s="2" t="s">
        <v>436</v>
      </c>
      <c r="W91" s="2" t="s">
        <v>443</v>
      </c>
      <c r="X91" s="2" t="s">
        <v>389</v>
      </c>
      <c r="Y91" s="2" t="s">
        <v>386</v>
      </c>
      <c r="Z91" s="2" t="s">
        <v>388</v>
      </c>
      <c r="AA91" s="2" t="s">
        <v>412</v>
      </c>
      <c r="AB91" s="2" t="s">
        <v>389</v>
      </c>
      <c r="AC91" s="2" t="s">
        <v>448</v>
      </c>
      <c r="AD91" s="2" t="s">
        <v>401</v>
      </c>
      <c r="AE91" s="2"/>
      <c r="AF91" s="2"/>
      <c r="AG91" s="2"/>
    </row>
    <row r="92" spans="1:37">
      <c r="A92" t="s">
        <v>8</v>
      </c>
      <c r="B92">
        <v>410</v>
      </c>
      <c r="C92">
        <v>600</v>
      </c>
      <c r="D92">
        <f t="shared" si="31"/>
        <v>68.333333333333329</v>
      </c>
      <c r="F92" s="2"/>
      <c r="G92" t="s">
        <v>8</v>
      </c>
      <c r="H92">
        <v>374</v>
      </c>
      <c r="I92">
        <v>600</v>
      </c>
      <c r="J92">
        <f t="shared" si="32"/>
        <v>62.333333333333329</v>
      </c>
      <c r="L92" t="s">
        <v>389</v>
      </c>
      <c r="M92" s="2" t="s">
        <v>400</v>
      </c>
      <c r="N92" s="2" t="s">
        <v>399</v>
      </c>
      <c r="O92" s="2" t="s">
        <v>406</v>
      </c>
      <c r="P92" s="2" t="s">
        <v>412</v>
      </c>
      <c r="Q92" s="2" t="s">
        <v>398</v>
      </c>
      <c r="R92" s="2" t="s">
        <v>416</v>
      </c>
      <c r="S92" s="2" t="s">
        <v>398</v>
      </c>
      <c r="T92" s="2" t="s">
        <v>426</v>
      </c>
      <c r="U92" s="2" t="s">
        <v>387</v>
      </c>
      <c r="V92" s="2" t="s">
        <v>417</v>
      </c>
      <c r="W92" s="2" t="s">
        <v>444</v>
      </c>
      <c r="X92" s="2" t="s">
        <v>389</v>
      </c>
      <c r="Y92" s="2" t="s">
        <v>391</v>
      </c>
      <c r="Z92" s="33" t="s">
        <v>411</v>
      </c>
      <c r="AA92" s="2" t="s">
        <v>411</v>
      </c>
      <c r="AB92" s="2" t="s">
        <v>411</v>
      </c>
      <c r="AC92" s="2" t="s">
        <v>382</v>
      </c>
      <c r="AD92" s="2" t="s">
        <v>396</v>
      </c>
      <c r="AE92" s="2"/>
      <c r="AF92" s="2"/>
      <c r="AG92" s="2"/>
    </row>
    <row r="93" spans="1:37">
      <c r="F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7">
      <c r="A94" t="s">
        <v>9</v>
      </c>
      <c r="B94">
        <v>451</v>
      </c>
      <c r="C94">
        <v>600</v>
      </c>
      <c r="D94">
        <f t="shared" ref="D94:D96" si="33">B94/C94*100</f>
        <v>75.166666666666671</v>
      </c>
      <c r="F94" s="2"/>
      <c r="G94" t="s">
        <v>9</v>
      </c>
      <c r="H94">
        <v>414</v>
      </c>
      <c r="I94">
        <v>600</v>
      </c>
      <c r="J94">
        <f t="shared" ref="J94:J96" si="34">H94/I94*100</f>
        <v>69</v>
      </c>
      <c r="L94" t="s">
        <v>390</v>
      </c>
      <c r="M94" s="2" t="s">
        <v>399</v>
      </c>
      <c r="N94" s="2" t="s">
        <v>399</v>
      </c>
      <c r="O94" s="2" t="s">
        <v>406</v>
      </c>
      <c r="P94" s="2" t="s">
        <v>387</v>
      </c>
      <c r="Q94" s="2" t="s">
        <v>398</v>
      </c>
      <c r="R94" s="2" t="s">
        <v>399</v>
      </c>
      <c r="S94" s="2" t="s">
        <v>396</v>
      </c>
      <c r="T94" s="2" t="s">
        <v>427</v>
      </c>
      <c r="U94" s="2" t="s">
        <v>432</v>
      </c>
      <c r="V94" s="2" t="s">
        <v>397</v>
      </c>
      <c r="W94" s="2" t="s">
        <v>224</v>
      </c>
      <c r="X94" s="2" t="s">
        <v>387</v>
      </c>
      <c r="Y94" s="2" t="s">
        <v>412</v>
      </c>
      <c r="Z94" s="33" t="s">
        <v>514</v>
      </c>
      <c r="AA94" s="2" t="s">
        <v>388</v>
      </c>
      <c r="AB94" s="2" t="s">
        <v>385</v>
      </c>
      <c r="AC94" s="2" t="s">
        <v>455</v>
      </c>
      <c r="AD94" s="2" t="s">
        <v>396</v>
      </c>
      <c r="AE94" s="2"/>
      <c r="AF94" s="2"/>
      <c r="AG94" s="2"/>
    </row>
    <row r="95" spans="1:37">
      <c r="A95" t="s">
        <v>10</v>
      </c>
      <c r="B95">
        <v>453</v>
      </c>
      <c r="C95">
        <v>600</v>
      </c>
      <c r="D95">
        <f t="shared" si="33"/>
        <v>75.5</v>
      </c>
      <c r="F95" s="2"/>
      <c r="G95" t="s">
        <v>10</v>
      </c>
      <c r="H95">
        <v>419</v>
      </c>
      <c r="I95">
        <v>600</v>
      </c>
      <c r="J95">
        <f t="shared" si="34"/>
        <v>69.833333333333343</v>
      </c>
      <c r="L95" t="s">
        <v>388</v>
      </c>
      <c r="M95" s="2" t="s">
        <v>399</v>
      </c>
      <c r="N95" s="2" t="s">
        <v>399</v>
      </c>
      <c r="O95" s="2" t="s">
        <v>258</v>
      </c>
      <c r="P95" s="2" t="s">
        <v>411</v>
      </c>
      <c r="Q95" s="2" t="s">
        <v>398</v>
      </c>
      <c r="R95" s="2" t="s">
        <v>395</v>
      </c>
      <c r="S95" s="31" t="s">
        <v>402</v>
      </c>
      <c r="T95" s="2" t="s">
        <v>421</v>
      </c>
      <c r="U95" s="2" t="s">
        <v>433</v>
      </c>
      <c r="V95" s="2" t="s">
        <v>437</v>
      </c>
      <c r="W95" s="2" t="s">
        <v>406</v>
      </c>
      <c r="X95" s="2" t="s">
        <v>448</v>
      </c>
      <c r="Y95" s="2" t="s">
        <v>393</v>
      </c>
      <c r="Z95" s="2" t="s">
        <v>448</v>
      </c>
      <c r="AA95" s="2" t="s">
        <v>411</v>
      </c>
      <c r="AB95" s="2" t="s">
        <v>385</v>
      </c>
      <c r="AC95" s="2" t="s">
        <v>455</v>
      </c>
      <c r="AD95" s="2" t="s">
        <v>400</v>
      </c>
      <c r="AE95" s="2"/>
      <c r="AF95" s="2"/>
      <c r="AG95" s="2"/>
    </row>
    <row r="96" spans="1:37">
      <c r="A96" t="s">
        <v>11</v>
      </c>
      <c r="B96">
        <v>464</v>
      </c>
      <c r="C96">
        <v>600</v>
      </c>
      <c r="D96">
        <f t="shared" si="33"/>
        <v>77.333333333333329</v>
      </c>
      <c r="F96" s="2"/>
      <c r="G96" t="s">
        <v>11</v>
      </c>
      <c r="H96">
        <v>420</v>
      </c>
      <c r="I96">
        <v>600</v>
      </c>
      <c r="J96">
        <f t="shared" si="34"/>
        <v>70</v>
      </c>
      <c r="L96" t="s">
        <v>388</v>
      </c>
      <c r="M96" s="2" t="s">
        <v>399</v>
      </c>
      <c r="N96" s="2" t="s">
        <v>399</v>
      </c>
      <c r="O96" s="2" t="s">
        <v>258</v>
      </c>
      <c r="P96" s="2" t="s">
        <v>388</v>
      </c>
      <c r="Q96" s="2" t="s">
        <v>398</v>
      </c>
      <c r="R96" s="2" t="s">
        <v>395</v>
      </c>
      <c r="S96" s="31" t="s">
        <v>401</v>
      </c>
      <c r="T96" s="2" t="s">
        <v>424</v>
      </c>
      <c r="U96" s="2" t="s">
        <v>433</v>
      </c>
      <c r="V96" s="2" t="s">
        <v>436</v>
      </c>
      <c r="W96" s="2" t="s">
        <v>406</v>
      </c>
      <c r="X96" s="2" t="s">
        <v>382</v>
      </c>
      <c r="Y96" s="2" t="s">
        <v>393</v>
      </c>
      <c r="Z96" s="2" t="s">
        <v>455</v>
      </c>
      <c r="AA96" s="2" t="s">
        <v>388</v>
      </c>
      <c r="AB96" s="2" t="s">
        <v>432</v>
      </c>
      <c r="AC96" s="2" t="s">
        <v>455</v>
      </c>
      <c r="AD96" s="2" t="s">
        <v>396</v>
      </c>
      <c r="AE96" s="2"/>
      <c r="AF96" s="2"/>
      <c r="AG96" s="2"/>
    </row>
    <row r="97" spans="1:68">
      <c r="F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68">
      <c r="A98" t="s">
        <v>377</v>
      </c>
      <c r="B98">
        <v>392</v>
      </c>
      <c r="C98">
        <v>600</v>
      </c>
      <c r="D98">
        <f t="shared" ref="D98:D100" si="35">B98/C98*100</f>
        <v>65.333333333333329</v>
      </c>
      <c r="F98" s="2"/>
      <c r="G98" t="s">
        <v>377</v>
      </c>
      <c r="H98">
        <v>370</v>
      </c>
      <c r="I98">
        <v>600</v>
      </c>
      <c r="J98">
        <f t="shared" ref="J98:J100" si="36">H98/I98*100</f>
        <v>61.666666666666671</v>
      </c>
      <c r="L98" t="s">
        <v>391</v>
      </c>
      <c r="M98" s="2" t="s">
        <v>400</v>
      </c>
      <c r="N98" s="2" t="s">
        <v>399</v>
      </c>
      <c r="O98" s="2" t="s">
        <v>246</v>
      </c>
      <c r="P98" s="2" t="s">
        <v>411</v>
      </c>
      <c r="Q98" s="2" t="s">
        <v>398</v>
      </c>
      <c r="R98" s="2" t="s">
        <v>399</v>
      </c>
      <c r="S98" s="2" t="s">
        <v>400</v>
      </c>
      <c r="T98" s="2" t="s">
        <v>426</v>
      </c>
      <c r="U98" s="2" t="s">
        <v>389</v>
      </c>
      <c r="V98" s="2" t="s">
        <v>397</v>
      </c>
      <c r="W98" s="2" t="s">
        <v>246</v>
      </c>
      <c r="X98" s="2" t="s">
        <v>387</v>
      </c>
      <c r="Y98" s="2" t="s">
        <v>450</v>
      </c>
      <c r="Z98" s="2" t="s">
        <v>385</v>
      </c>
      <c r="AA98" s="2" t="s">
        <v>411</v>
      </c>
      <c r="AB98" s="2" t="s">
        <v>451</v>
      </c>
      <c r="AC98" s="2" t="s">
        <v>455</v>
      </c>
      <c r="AD98" s="2" t="s">
        <v>396</v>
      </c>
      <c r="AE98" s="2"/>
      <c r="AF98" s="2"/>
      <c r="AG98" s="2"/>
    </row>
    <row r="99" spans="1:68">
      <c r="A99" t="s">
        <v>378</v>
      </c>
      <c r="B99">
        <v>369</v>
      </c>
      <c r="C99">
        <v>600</v>
      </c>
      <c r="D99">
        <f t="shared" si="35"/>
        <v>61.5</v>
      </c>
      <c r="F99" s="2"/>
      <c r="G99" t="s">
        <v>378</v>
      </c>
      <c r="H99">
        <v>333</v>
      </c>
      <c r="I99">
        <v>600</v>
      </c>
      <c r="J99">
        <f t="shared" si="36"/>
        <v>55.500000000000007</v>
      </c>
      <c r="L99" t="s">
        <v>392</v>
      </c>
      <c r="M99" s="2" t="s">
        <v>401</v>
      </c>
      <c r="N99" s="2" t="s">
        <v>401</v>
      </c>
      <c r="O99" s="2" t="s">
        <v>258</v>
      </c>
      <c r="P99" s="2" t="s">
        <v>389</v>
      </c>
      <c r="Q99" s="2" t="s">
        <v>398</v>
      </c>
      <c r="R99" s="2" t="s">
        <v>399</v>
      </c>
      <c r="S99" s="2" t="s">
        <v>416</v>
      </c>
      <c r="T99" s="2" t="s">
        <v>427</v>
      </c>
      <c r="U99" s="2" t="s">
        <v>409</v>
      </c>
      <c r="V99" s="2" t="s">
        <v>397</v>
      </c>
      <c r="W99" s="2" t="s">
        <v>258</v>
      </c>
      <c r="X99" s="2" t="s">
        <v>387</v>
      </c>
      <c r="Y99" s="2" t="s">
        <v>408</v>
      </c>
      <c r="Z99" s="2" t="s">
        <v>391</v>
      </c>
      <c r="AA99" s="2" t="s">
        <v>382</v>
      </c>
      <c r="AB99" s="2" t="s">
        <v>451</v>
      </c>
      <c r="AC99" s="2" t="s">
        <v>433</v>
      </c>
      <c r="AD99" s="2" t="s">
        <v>436</v>
      </c>
      <c r="AE99" s="2"/>
      <c r="AF99" s="2"/>
      <c r="AG99" s="2"/>
    </row>
    <row r="100" spans="1:68">
      <c r="A100" t="s">
        <v>379</v>
      </c>
      <c r="B100">
        <v>331</v>
      </c>
      <c r="C100">
        <v>600</v>
      </c>
      <c r="D100">
        <f t="shared" si="35"/>
        <v>55.166666666666664</v>
      </c>
      <c r="F100" s="2"/>
      <c r="G100" t="s">
        <v>379</v>
      </c>
      <c r="H100">
        <v>325</v>
      </c>
      <c r="I100">
        <v>600</v>
      </c>
      <c r="J100">
        <f t="shared" si="36"/>
        <v>54.166666666666664</v>
      </c>
      <c r="L100" t="s">
        <v>393</v>
      </c>
      <c r="M100" s="2" t="s">
        <v>400</v>
      </c>
      <c r="N100" s="2" t="s">
        <v>401</v>
      </c>
      <c r="O100" t="s">
        <v>224</v>
      </c>
      <c r="P100" s="2" t="s">
        <v>411</v>
      </c>
      <c r="Q100" s="2" t="s">
        <v>398</v>
      </c>
      <c r="R100" s="2" t="s">
        <v>395</v>
      </c>
      <c r="S100" s="2" t="s">
        <v>396</v>
      </c>
      <c r="T100" s="2" t="s">
        <v>428</v>
      </c>
      <c r="U100" s="2" t="s">
        <v>434</v>
      </c>
      <c r="V100" s="2" t="s">
        <v>437</v>
      </c>
      <c r="W100" s="2" t="s">
        <v>405</v>
      </c>
      <c r="X100" s="2" t="s">
        <v>391</v>
      </c>
      <c r="Y100" s="2" t="s">
        <v>449</v>
      </c>
      <c r="Z100" s="2" t="s">
        <v>389</v>
      </c>
      <c r="AA100" s="2" t="s">
        <v>387</v>
      </c>
      <c r="AB100" s="2" t="s">
        <v>392</v>
      </c>
      <c r="AC100" s="2" t="s">
        <v>455</v>
      </c>
      <c r="AD100" s="2" t="s">
        <v>402</v>
      </c>
      <c r="AE100" s="2"/>
      <c r="AF100" s="2"/>
      <c r="AG100" s="2"/>
    </row>
    <row r="101" spans="1:68">
      <c r="F101" s="25"/>
      <c r="M101" s="2"/>
    </row>
    <row r="102" spans="1:68">
      <c r="L102" s="27" t="s">
        <v>472</v>
      </c>
    </row>
    <row r="103" spans="1:68">
      <c r="A103" s="45" t="s">
        <v>207</v>
      </c>
      <c r="B103" s="45"/>
      <c r="C103" s="45"/>
      <c r="D103" s="45"/>
      <c r="G103" s="46" t="s">
        <v>471</v>
      </c>
      <c r="H103" s="46"/>
      <c r="I103" s="46"/>
      <c r="J103" s="46"/>
      <c r="L103">
        <v>2</v>
      </c>
      <c r="M103">
        <v>6</v>
      </c>
      <c r="N103">
        <v>10</v>
      </c>
      <c r="O103">
        <v>13</v>
      </c>
      <c r="P103">
        <v>16</v>
      </c>
      <c r="Q103">
        <v>19</v>
      </c>
      <c r="R103">
        <v>27</v>
      </c>
      <c r="S103">
        <v>31</v>
      </c>
      <c r="T103">
        <v>35</v>
      </c>
      <c r="U103">
        <v>39</v>
      </c>
      <c r="V103">
        <v>43</v>
      </c>
      <c r="W103">
        <v>47</v>
      </c>
      <c r="X103">
        <v>51</v>
      </c>
      <c r="Y103">
        <v>55</v>
      </c>
      <c r="Z103">
        <v>59</v>
      </c>
      <c r="AA103">
        <v>65</v>
      </c>
      <c r="AB103">
        <v>68</v>
      </c>
      <c r="AC103">
        <v>69</v>
      </c>
      <c r="AD103">
        <v>72</v>
      </c>
      <c r="AE103">
        <v>77</v>
      </c>
      <c r="AG103" s="6" t="s">
        <v>107</v>
      </c>
      <c r="AH103" s="7"/>
      <c r="AI103" s="7"/>
      <c r="AJ103" s="7"/>
      <c r="AK103" s="7"/>
    </row>
    <row r="104" spans="1:68">
      <c r="A104" s="1" t="s">
        <v>12</v>
      </c>
      <c r="B104" s="1" t="s">
        <v>13</v>
      </c>
      <c r="C104" s="1" t="s">
        <v>14</v>
      </c>
      <c r="D104" s="1" t="s">
        <v>15</v>
      </c>
      <c r="G104" s="1" t="s">
        <v>12</v>
      </c>
      <c r="H104" s="1" t="s">
        <v>13</v>
      </c>
      <c r="I104" s="1" t="s">
        <v>14</v>
      </c>
      <c r="J104" s="1" t="s">
        <v>15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AA104" s="2"/>
      <c r="AG104" s="4" t="s">
        <v>108</v>
      </c>
      <c r="AH104" s="4" t="s">
        <v>109</v>
      </c>
      <c r="AI104" s="4" t="s">
        <v>111</v>
      </c>
      <c r="AJ104" s="4" t="s">
        <v>170</v>
      </c>
      <c r="AK104" s="4" t="s">
        <v>180</v>
      </c>
    </row>
    <row r="105" spans="1:68">
      <c r="A105" t="s">
        <v>16</v>
      </c>
      <c r="B105">
        <v>239</v>
      </c>
      <c r="C105">
        <v>308</v>
      </c>
      <c r="D105">
        <f>B105/C105*100</f>
        <v>77.597402597402592</v>
      </c>
      <c r="G105" t="s">
        <v>16</v>
      </c>
      <c r="H105">
        <v>209</v>
      </c>
      <c r="I105">
        <v>308</v>
      </c>
      <c r="J105">
        <f>H105/I105*100</f>
        <v>67.857142857142861</v>
      </c>
      <c r="L105" s="2" t="s">
        <v>473</v>
      </c>
      <c r="M105" s="2" t="s">
        <v>476</v>
      </c>
      <c r="N105" s="2" t="s">
        <v>477</v>
      </c>
      <c r="O105" s="2" t="s">
        <v>401</v>
      </c>
      <c r="P105" s="2" t="s">
        <v>417</v>
      </c>
      <c r="Q105" s="2" t="s">
        <v>399</v>
      </c>
      <c r="R105" s="2" t="s">
        <v>491</v>
      </c>
      <c r="S105" s="2" t="s">
        <v>407</v>
      </c>
      <c r="T105" s="2" t="s">
        <v>505</v>
      </c>
      <c r="U105" s="2" t="s">
        <v>407</v>
      </c>
      <c r="V105" s="2" t="s">
        <v>511</v>
      </c>
      <c r="W105" s="2" t="s">
        <v>429</v>
      </c>
      <c r="X105" s="2" t="s">
        <v>381</v>
      </c>
      <c r="Y105" s="2" t="s">
        <v>511</v>
      </c>
      <c r="Z105" s="2" t="s">
        <v>445</v>
      </c>
      <c r="AA105" t="s">
        <v>441</v>
      </c>
      <c r="AB105" s="2" t="s">
        <v>400</v>
      </c>
      <c r="AC105" s="2" t="s">
        <v>456</v>
      </c>
      <c r="AD105" s="2" t="s">
        <v>416</v>
      </c>
      <c r="AE105" s="2" t="s">
        <v>281</v>
      </c>
      <c r="AF105" s="2"/>
      <c r="AG105" s="9">
        <v>279</v>
      </c>
      <c r="AH105" t="s">
        <v>539</v>
      </c>
      <c r="AI105" t="s">
        <v>460</v>
      </c>
      <c r="AJ105" t="s">
        <v>540</v>
      </c>
      <c r="AK105" s="2" t="s">
        <v>315</v>
      </c>
      <c r="AU105" s="2">
        <v>4</v>
      </c>
      <c r="AV105" s="2">
        <v>12</v>
      </c>
      <c r="AW105" s="2">
        <v>5</v>
      </c>
      <c r="AX105" s="2">
        <v>8</v>
      </c>
      <c r="AY105" s="2">
        <v>3</v>
      </c>
      <c r="AZ105" s="2">
        <v>12</v>
      </c>
      <c r="BA105" s="2">
        <v>25</v>
      </c>
      <c r="BB105" s="2">
        <v>11</v>
      </c>
      <c r="BC105" s="2">
        <v>15</v>
      </c>
      <c r="BD105" s="2">
        <v>11</v>
      </c>
      <c r="BE105" s="2">
        <v>9</v>
      </c>
      <c r="BF105" s="2">
        <v>10</v>
      </c>
      <c r="BG105" s="2">
        <v>14</v>
      </c>
      <c r="BH105" s="2">
        <v>9</v>
      </c>
      <c r="BI105" s="2">
        <v>13</v>
      </c>
      <c r="BJ105">
        <v>13</v>
      </c>
      <c r="BK105" s="2">
        <v>9</v>
      </c>
      <c r="BL105" s="2">
        <v>3</v>
      </c>
      <c r="BM105" s="2">
        <v>10</v>
      </c>
      <c r="BN105" s="2">
        <v>13</v>
      </c>
      <c r="BP105" s="2">
        <f>SUM(AU105:BO105)</f>
        <v>209</v>
      </c>
    </row>
    <row r="106" spans="1:68"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9">
        <v>279</v>
      </c>
      <c r="AH106" t="s">
        <v>466</v>
      </c>
      <c r="AI106" t="s">
        <v>464</v>
      </c>
      <c r="AJ106" t="s">
        <v>541</v>
      </c>
      <c r="AK106" s="2" t="s">
        <v>504</v>
      </c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P106" s="2"/>
    </row>
    <row r="107" spans="1:68">
      <c r="A107" t="s">
        <v>1</v>
      </c>
      <c r="B107">
        <v>638</v>
      </c>
      <c r="C107">
        <v>924</v>
      </c>
      <c r="D107">
        <f t="shared" ref="D107:D109" si="37">B107/C107*100</f>
        <v>69.047619047619051</v>
      </c>
      <c r="G107" t="s">
        <v>1</v>
      </c>
      <c r="H107">
        <v>568</v>
      </c>
      <c r="I107">
        <v>924</v>
      </c>
      <c r="J107">
        <f t="shared" ref="J107:J109" si="38">H107/I107*100</f>
        <v>61.471861471861466</v>
      </c>
      <c r="L107" s="2" t="s">
        <v>441</v>
      </c>
      <c r="M107" s="2" t="s">
        <v>412</v>
      </c>
      <c r="N107" s="2" t="s">
        <v>446</v>
      </c>
      <c r="O107" s="2" t="s">
        <v>418</v>
      </c>
      <c r="P107" s="2" t="s">
        <v>483</v>
      </c>
      <c r="Q107" s="2" t="s">
        <v>486</v>
      </c>
      <c r="R107" s="2" t="s">
        <v>492</v>
      </c>
      <c r="S107" s="2" t="s">
        <v>382</v>
      </c>
      <c r="T107" s="2" t="s">
        <v>448</v>
      </c>
      <c r="U107" s="2" t="s">
        <v>389</v>
      </c>
      <c r="V107" s="2" t="s">
        <v>391</v>
      </c>
      <c r="W107" s="2" t="s">
        <v>389</v>
      </c>
      <c r="X107" s="2" t="s">
        <v>455</v>
      </c>
      <c r="Y107" s="2" t="s">
        <v>389</v>
      </c>
      <c r="Z107" s="2" t="s">
        <v>433</v>
      </c>
      <c r="AA107" s="33" t="s">
        <v>235</v>
      </c>
      <c r="AB107" s="2" t="s">
        <v>424</v>
      </c>
      <c r="AC107" s="2" t="s">
        <v>414</v>
      </c>
      <c r="AD107" s="2" t="s">
        <v>480</v>
      </c>
      <c r="AE107" s="34" t="s">
        <v>542</v>
      </c>
      <c r="AF107" s="2"/>
      <c r="AG107" s="9">
        <v>279</v>
      </c>
      <c r="AH107" t="s">
        <v>524</v>
      </c>
      <c r="AI107" t="s">
        <v>525</v>
      </c>
      <c r="AJ107" t="s">
        <v>190</v>
      </c>
      <c r="AK107" s="2" t="s">
        <v>503</v>
      </c>
      <c r="AU107" s="2">
        <v>13</v>
      </c>
      <c r="AV107" s="2">
        <v>29</v>
      </c>
      <c r="AW107" s="2">
        <v>16</v>
      </c>
      <c r="AX107" s="2">
        <v>18</v>
      </c>
      <c r="AY107" s="2">
        <v>12</v>
      </c>
      <c r="AZ107" s="2">
        <v>34</v>
      </c>
      <c r="BA107" s="2">
        <v>71</v>
      </c>
      <c r="BB107" s="2">
        <v>33</v>
      </c>
      <c r="BC107" s="2">
        <v>38</v>
      </c>
      <c r="BD107" s="2">
        <v>28</v>
      </c>
      <c r="BE107" s="2">
        <v>25</v>
      </c>
      <c r="BF107" s="2">
        <v>28</v>
      </c>
      <c r="BG107" s="2">
        <v>39</v>
      </c>
      <c r="BH107" s="2">
        <v>28</v>
      </c>
      <c r="BI107" s="2">
        <v>36</v>
      </c>
      <c r="BJ107" s="10">
        <v>41</v>
      </c>
      <c r="BK107" s="2">
        <v>24</v>
      </c>
      <c r="BL107" s="2">
        <v>5</v>
      </c>
      <c r="BM107" s="2">
        <v>20</v>
      </c>
      <c r="BN107" s="37">
        <v>30</v>
      </c>
      <c r="BP107" s="2">
        <f t="shared" ref="BP107:BP125" si="39">SUM(AU107:BO107)</f>
        <v>568</v>
      </c>
    </row>
    <row r="108" spans="1:68">
      <c r="A108" t="s">
        <v>2</v>
      </c>
      <c r="B108">
        <v>523</v>
      </c>
      <c r="C108">
        <v>924</v>
      </c>
      <c r="D108">
        <f t="shared" si="37"/>
        <v>56.601731601731601</v>
      </c>
      <c r="G108" t="s">
        <v>2</v>
      </c>
      <c r="H108">
        <v>451</v>
      </c>
      <c r="I108">
        <v>924</v>
      </c>
      <c r="J108">
        <f t="shared" si="38"/>
        <v>48.80952380952381</v>
      </c>
      <c r="L108" s="2" t="s">
        <v>474</v>
      </c>
      <c r="M108" s="2" t="s">
        <v>390</v>
      </c>
      <c r="N108" s="2" t="s">
        <v>446</v>
      </c>
      <c r="O108" s="2" t="s">
        <v>418</v>
      </c>
      <c r="P108" s="2" t="s">
        <v>425</v>
      </c>
      <c r="Q108" s="2" t="s">
        <v>487</v>
      </c>
      <c r="R108" s="2" t="s">
        <v>493</v>
      </c>
      <c r="S108" s="2" t="s">
        <v>386</v>
      </c>
      <c r="T108" s="2" t="s">
        <v>412</v>
      </c>
      <c r="U108" s="2" t="s">
        <v>393</v>
      </c>
      <c r="V108" s="2" t="s">
        <v>447</v>
      </c>
      <c r="W108" s="2" t="s">
        <v>447</v>
      </c>
      <c r="X108" s="2" t="s">
        <v>411</v>
      </c>
      <c r="Y108" s="2" t="s">
        <v>452</v>
      </c>
      <c r="Z108" s="2" t="s">
        <v>391</v>
      </c>
      <c r="AA108" s="2" t="s">
        <v>517</v>
      </c>
      <c r="AB108" s="2" t="s">
        <v>418</v>
      </c>
      <c r="AC108" s="2" t="s">
        <v>402</v>
      </c>
      <c r="AD108" s="2" t="s">
        <v>428</v>
      </c>
      <c r="AE108" s="2" t="s">
        <v>278</v>
      </c>
      <c r="AF108" s="2"/>
      <c r="AG108" s="32" t="s">
        <v>526</v>
      </c>
      <c r="AH108" t="s">
        <v>527</v>
      </c>
      <c r="AI108" t="s">
        <v>525</v>
      </c>
      <c r="AJ108" t="s">
        <v>190</v>
      </c>
      <c r="AK108" s="2" t="s">
        <v>513</v>
      </c>
      <c r="AU108" s="2">
        <v>9</v>
      </c>
      <c r="AV108" s="2">
        <v>24</v>
      </c>
      <c r="AW108" s="2">
        <v>16</v>
      </c>
      <c r="AX108" s="2">
        <v>18</v>
      </c>
      <c r="AY108" s="2">
        <v>19</v>
      </c>
      <c r="AZ108" s="2">
        <v>28</v>
      </c>
      <c r="BA108" s="2">
        <v>58</v>
      </c>
      <c r="BB108" s="2">
        <v>26</v>
      </c>
      <c r="BC108" s="2">
        <v>29</v>
      </c>
      <c r="BD108" s="2">
        <v>27</v>
      </c>
      <c r="BE108" s="2">
        <v>13</v>
      </c>
      <c r="BF108" s="2">
        <v>13</v>
      </c>
      <c r="BG108" s="2">
        <v>30</v>
      </c>
      <c r="BH108" s="2">
        <v>20</v>
      </c>
      <c r="BI108" s="2">
        <v>25</v>
      </c>
      <c r="BJ108" s="2">
        <v>33</v>
      </c>
      <c r="BK108" s="2">
        <v>18</v>
      </c>
      <c r="BL108" s="2">
        <v>4</v>
      </c>
      <c r="BM108" s="2">
        <v>26</v>
      </c>
      <c r="BN108" s="2">
        <v>15</v>
      </c>
      <c r="BP108" s="2">
        <f t="shared" si="39"/>
        <v>451</v>
      </c>
    </row>
    <row r="109" spans="1:68">
      <c r="A109" t="s">
        <v>0</v>
      </c>
      <c r="B109">
        <v>402</v>
      </c>
      <c r="C109">
        <v>924</v>
      </c>
      <c r="D109">
        <f t="shared" si="37"/>
        <v>43.506493506493506</v>
      </c>
      <c r="G109" t="s">
        <v>0</v>
      </c>
      <c r="H109">
        <v>318</v>
      </c>
      <c r="I109">
        <v>924</v>
      </c>
      <c r="J109">
        <f t="shared" si="38"/>
        <v>34.415584415584419</v>
      </c>
      <c r="L109" s="2" t="s">
        <v>475</v>
      </c>
      <c r="M109" s="2" t="s">
        <v>392</v>
      </c>
      <c r="N109" s="2" t="s">
        <v>478</v>
      </c>
      <c r="O109" s="2" t="s">
        <v>479</v>
      </c>
      <c r="P109" s="2" t="s">
        <v>481</v>
      </c>
      <c r="Q109" s="2" t="s">
        <v>422</v>
      </c>
      <c r="R109" s="2" t="s">
        <v>494</v>
      </c>
      <c r="S109" s="2" t="s">
        <v>409</v>
      </c>
      <c r="T109" s="2" t="s">
        <v>408</v>
      </c>
      <c r="U109" s="2" t="s">
        <v>452</v>
      </c>
      <c r="V109" s="2" t="s">
        <v>408</v>
      </c>
      <c r="W109" s="2" t="s">
        <v>450</v>
      </c>
      <c r="X109" s="2" t="s">
        <v>392</v>
      </c>
      <c r="Y109" s="2" t="s">
        <v>512</v>
      </c>
      <c r="Z109" s="2" t="s">
        <v>386</v>
      </c>
      <c r="AA109" s="2" t="s">
        <v>518</v>
      </c>
      <c r="AB109" s="2" t="s">
        <v>419</v>
      </c>
      <c r="AC109" s="2" t="s">
        <v>417</v>
      </c>
      <c r="AD109" s="2" t="s">
        <v>481</v>
      </c>
      <c r="AE109" s="2" t="s">
        <v>523</v>
      </c>
      <c r="AF109" s="2"/>
      <c r="AG109" s="31" t="s">
        <v>529</v>
      </c>
      <c r="AH109" t="s">
        <v>528</v>
      </c>
      <c r="AI109" t="s">
        <v>525</v>
      </c>
      <c r="AJ109" t="s">
        <v>535</v>
      </c>
      <c r="AK109" s="2" t="s">
        <v>515</v>
      </c>
      <c r="AU109" s="2">
        <v>7</v>
      </c>
      <c r="AV109" s="2">
        <v>19</v>
      </c>
      <c r="AW109" s="2">
        <v>14</v>
      </c>
      <c r="AX109" s="2">
        <v>6</v>
      </c>
      <c r="AY109" s="2">
        <v>14</v>
      </c>
      <c r="AZ109" s="2">
        <v>17</v>
      </c>
      <c r="BA109" s="2">
        <v>29</v>
      </c>
      <c r="BB109" s="2">
        <v>23</v>
      </c>
      <c r="BC109" s="2">
        <v>15</v>
      </c>
      <c r="BD109" s="2">
        <v>20</v>
      </c>
      <c r="BE109" s="2">
        <v>15</v>
      </c>
      <c r="BF109" s="2">
        <v>22</v>
      </c>
      <c r="BG109" s="2">
        <v>19</v>
      </c>
      <c r="BH109" s="2">
        <v>12</v>
      </c>
      <c r="BI109" s="2">
        <v>26</v>
      </c>
      <c r="BJ109" s="2">
        <v>21</v>
      </c>
      <c r="BK109" s="2">
        <v>15</v>
      </c>
      <c r="BL109" s="2">
        <v>3</v>
      </c>
      <c r="BM109" s="2">
        <v>14</v>
      </c>
      <c r="BN109" s="2">
        <v>7</v>
      </c>
      <c r="BP109" s="2">
        <f t="shared" si="39"/>
        <v>318</v>
      </c>
    </row>
    <row r="110" spans="1:68"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35">
        <v>316</v>
      </c>
      <c r="AH110" t="s">
        <v>530</v>
      </c>
      <c r="AI110" t="s">
        <v>525</v>
      </c>
      <c r="AJ110" t="s">
        <v>535</v>
      </c>
      <c r="AK110" s="2" t="s">
        <v>516</v>
      </c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P110" s="2"/>
    </row>
    <row r="111" spans="1:68">
      <c r="A111" t="s">
        <v>3</v>
      </c>
      <c r="B111">
        <v>660</v>
      </c>
      <c r="C111">
        <v>924</v>
      </c>
      <c r="D111">
        <f t="shared" ref="D111" si="40">B111/C111*100</f>
        <v>71.428571428571431</v>
      </c>
      <c r="G111" t="s">
        <v>3</v>
      </c>
      <c r="H111">
        <v>587</v>
      </c>
      <c r="I111">
        <v>924</v>
      </c>
      <c r="J111">
        <f t="shared" ref="J111:J113" si="41">H111/I111*100</f>
        <v>63.528138528138534</v>
      </c>
      <c r="L111" s="2" t="s">
        <v>438</v>
      </c>
      <c r="M111" s="2" t="s">
        <v>387</v>
      </c>
      <c r="N111" s="2" t="s">
        <v>451</v>
      </c>
      <c r="O111" s="2" t="s">
        <v>480</v>
      </c>
      <c r="P111" s="2" t="s">
        <v>422</v>
      </c>
      <c r="Q111" s="2" t="s">
        <v>488</v>
      </c>
      <c r="R111" s="2" t="s">
        <v>495</v>
      </c>
      <c r="S111" s="2" t="s">
        <v>389</v>
      </c>
      <c r="T111" s="2" t="s">
        <v>506</v>
      </c>
      <c r="U111" s="2" t="s">
        <v>411</v>
      </c>
      <c r="V111" s="2" t="s">
        <v>412</v>
      </c>
      <c r="W111" s="2" t="s">
        <v>393</v>
      </c>
      <c r="X111" s="2" t="s">
        <v>433</v>
      </c>
      <c r="Y111" s="2" t="s">
        <v>391</v>
      </c>
      <c r="Z111" s="2" t="s">
        <v>433</v>
      </c>
      <c r="AA111" s="2" t="s">
        <v>245</v>
      </c>
      <c r="AB111" s="2" t="s">
        <v>487</v>
      </c>
      <c r="AC111" s="2" t="s">
        <v>414</v>
      </c>
      <c r="AD111" s="2" t="s">
        <v>425</v>
      </c>
      <c r="AE111" s="2" t="s">
        <v>336</v>
      </c>
      <c r="AF111" s="2"/>
      <c r="AG111" s="36">
        <v>323</v>
      </c>
      <c r="AH111" t="s">
        <v>530</v>
      </c>
      <c r="AI111" t="s">
        <v>525</v>
      </c>
      <c r="AJ111" t="s">
        <v>190</v>
      </c>
      <c r="AK111" s="2" t="s">
        <v>522</v>
      </c>
      <c r="AU111" s="2">
        <v>12</v>
      </c>
      <c r="AV111" s="2">
        <v>31</v>
      </c>
      <c r="AW111" s="2">
        <v>21</v>
      </c>
      <c r="AX111" s="2">
        <v>20</v>
      </c>
      <c r="AY111" s="2">
        <v>17</v>
      </c>
      <c r="AZ111" s="2">
        <v>35</v>
      </c>
      <c r="BA111" s="2">
        <v>73</v>
      </c>
      <c r="BB111" s="2">
        <v>28</v>
      </c>
      <c r="BC111" s="2">
        <v>42</v>
      </c>
      <c r="BD111" s="2">
        <v>30</v>
      </c>
      <c r="BE111" s="2">
        <v>29</v>
      </c>
      <c r="BF111" s="2">
        <v>27</v>
      </c>
      <c r="BG111" s="2">
        <v>36</v>
      </c>
      <c r="BH111" s="2">
        <v>25</v>
      </c>
      <c r="BI111" s="2">
        <v>36</v>
      </c>
      <c r="BJ111" s="2">
        <v>37</v>
      </c>
      <c r="BK111" s="2">
        <v>28</v>
      </c>
      <c r="BL111" s="2">
        <v>5</v>
      </c>
      <c r="BM111" s="2">
        <v>19</v>
      </c>
      <c r="BN111" s="2">
        <v>36</v>
      </c>
      <c r="BP111" s="2">
        <f t="shared" si="39"/>
        <v>587</v>
      </c>
    </row>
    <row r="112" spans="1:68">
      <c r="A112" t="s">
        <v>4</v>
      </c>
      <c r="B112">
        <v>632</v>
      </c>
      <c r="C112">
        <v>924</v>
      </c>
      <c r="D112">
        <f>B112/C112*100</f>
        <v>68.398268398268399</v>
      </c>
      <c r="G112" t="s">
        <v>4</v>
      </c>
      <c r="H112">
        <v>514</v>
      </c>
      <c r="I112">
        <v>924</v>
      </c>
      <c r="J112">
        <f t="shared" si="41"/>
        <v>55.627705627705623</v>
      </c>
      <c r="L112" s="2" t="s">
        <v>405</v>
      </c>
      <c r="M112" s="2" t="s">
        <v>412</v>
      </c>
      <c r="N112" s="2" t="s">
        <v>450</v>
      </c>
      <c r="O112" s="2" t="s">
        <v>426</v>
      </c>
      <c r="P112" s="2" t="s">
        <v>484</v>
      </c>
      <c r="Q112" s="2" t="s">
        <v>487</v>
      </c>
      <c r="R112" s="2" t="s">
        <v>496</v>
      </c>
      <c r="S112" s="2" t="s">
        <v>411</v>
      </c>
      <c r="T112" s="2" t="s">
        <v>387</v>
      </c>
      <c r="U112" s="2" t="s">
        <v>393</v>
      </c>
      <c r="V112" s="2" t="s">
        <v>409</v>
      </c>
      <c r="W112" s="2" t="s">
        <v>451</v>
      </c>
      <c r="X112" s="2" t="s">
        <v>433</v>
      </c>
      <c r="Y112" s="2" t="s">
        <v>451</v>
      </c>
      <c r="Z112" s="2" t="s">
        <v>382</v>
      </c>
      <c r="AA112" s="2" t="s">
        <v>257</v>
      </c>
      <c r="AB112" s="2" t="s">
        <v>425</v>
      </c>
      <c r="AC112" s="2" t="s">
        <v>436</v>
      </c>
      <c r="AD112" s="2" t="s">
        <v>482</v>
      </c>
      <c r="AE112" s="2" t="s">
        <v>276</v>
      </c>
      <c r="AF112" s="2"/>
      <c r="AU112" s="2">
        <v>11</v>
      </c>
      <c r="AV112" s="2">
        <v>29</v>
      </c>
      <c r="AW112" s="2">
        <v>22</v>
      </c>
      <c r="AX112" s="2">
        <v>21</v>
      </c>
      <c r="AY112" s="2">
        <v>16</v>
      </c>
      <c r="AZ112" s="2">
        <v>28</v>
      </c>
      <c r="BA112" s="2">
        <v>62</v>
      </c>
      <c r="BB112" s="2">
        <v>30</v>
      </c>
      <c r="BC112" s="2">
        <v>31</v>
      </c>
      <c r="BD112" s="2">
        <v>27</v>
      </c>
      <c r="BE112" s="2">
        <v>23</v>
      </c>
      <c r="BF112" s="2">
        <v>21</v>
      </c>
      <c r="BG112" s="2">
        <v>36</v>
      </c>
      <c r="BH112" s="2">
        <v>21</v>
      </c>
      <c r="BI112" s="2">
        <v>33</v>
      </c>
      <c r="BJ112" s="2">
        <v>29</v>
      </c>
      <c r="BK112" s="2">
        <v>19</v>
      </c>
      <c r="BL112" s="2">
        <v>2</v>
      </c>
      <c r="BM112" s="2">
        <v>22</v>
      </c>
      <c r="BN112" s="2">
        <v>31</v>
      </c>
      <c r="BP112" s="2">
        <f t="shared" si="39"/>
        <v>514</v>
      </c>
    </row>
    <row r="113" spans="1:68">
      <c r="A113" t="s">
        <v>5</v>
      </c>
      <c r="B113">
        <v>549</v>
      </c>
      <c r="C113">
        <v>924</v>
      </c>
      <c r="D113">
        <f t="shared" ref="D113" si="42">B113/C113*100</f>
        <v>59.415584415584412</v>
      </c>
      <c r="G113" t="s">
        <v>5</v>
      </c>
      <c r="H113">
        <v>425</v>
      </c>
      <c r="I113">
        <v>924</v>
      </c>
      <c r="J113">
        <f t="shared" si="41"/>
        <v>45.995670995670999</v>
      </c>
      <c r="L113" s="2" t="s">
        <v>438</v>
      </c>
      <c r="M113" s="2" t="s">
        <v>410</v>
      </c>
      <c r="N113" s="2" t="s">
        <v>434</v>
      </c>
      <c r="O113" s="2" t="s">
        <v>481</v>
      </c>
      <c r="P113" s="2" t="s">
        <v>485</v>
      </c>
      <c r="Q113" s="2" t="s">
        <v>489</v>
      </c>
      <c r="R113" s="2" t="s">
        <v>497</v>
      </c>
      <c r="S113" s="2" t="s">
        <v>390</v>
      </c>
      <c r="T113" s="2" t="s">
        <v>450</v>
      </c>
      <c r="U113" s="2" t="s">
        <v>391</v>
      </c>
      <c r="V113" s="2" t="s">
        <v>434</v>
      </c>
      <c r="W113" s="2" t="s">
        <v>410</v>
      </c>
      <c r="X113" s="2" t="s">
        <v>386</v>
      </c>
      <c r="Y113" s="32" t="s">
        <v>408</v>
      </c>
      <c r="Z113" s="2" t="s">
        <v>390</v>
      </c>
      <c r="AA113" s="2" t="s">
        <v>241</v>
      </c>
      <c r="AB113" s="2" t="s">
        <v>427</v>
      </c>
      <c r="AC113" s="2" t="s">
        <v>417</v>
      </c>
      <c r="AD113" s="2" t="s">
        <v>422</v>
      </c>
      <c r="AE113" s="2" t="s">
        <v>338</v>
      </c>
      <c r="AF113" s="2"/>
      <c r="AU113" s="2">
        <v>12</v>
      </c>
      <c r="AV113" s="2">
        <v>17</v>
      </c>
      <c r="AW113" s="2">
        <v>18</v>
      </c>
      <c r="AX113" s="2">
        <v>14</v>
      </c>
      <c r="AY113" s="2">
        <v>9</v>
      </c>
      <c r="AZ113" s="2">
        <v>29</v>
      </c>
      <c r="BA113" s="2">
        <v>56</v>
      </c>
      <c r="BB113" s="2">
        <v>24</v>
      </c>
      <c r="BC113" s="2">
        <v>22</v>
      </c>
      <c r="BD113" s="2">
        <v>25</v>
      </c>
      <c r="BE113" s="2">
        <v>18</v>
      </c>
      <c r="BF113" s="2">
        <v>17</v>
      </c>
      <c r="BG113" s="2">
        <v>26</v>
      </c>
      <c r="BH113" s="15">
        <v>15</v>
      </c>
      <c r="BI113" s="2">
        <v>24</v>
      </c>
      <c r="BJ113" s="2">
        <v>35</v>
      </c>
      <c r="BK113" s="2">
        <v>23</v>
      </c>
      <c r="BL113" s="2">
        <v>3</v>
      </c>
      <c r="BM113" s="2">
        <v>17</v>
      </c>
      <c r="BN113" s="2">
        <v>21</v>
      </c>
      <c r="BP113" s="2">
        <f t="shared" si="39"/>
        <v>425</v>
      </c>
    </row>
    <row r="114" spans="1:68"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P114" s="2"/>
    </row>
    <row r="115" spans="1:68">
      <c r="A115" t="s">
        <v>6</v>
      </c>
      <c r="B115">
        <v>681</v>
      </c>
      <c r="C115">
        <v>924</v>
      </c>
      <c r="D115">
        <f t="shared" ref="D115:D117" si="43">B115/C115*100</f>
        <v>73.701298701298697</v>
      </c>
      <c r="G115" t="s">
        <v>6</v>
      </c>
      <c r="H115">
        <v>599</v>
      </c>
      <c r="I115">
        <v>924</v>
      </c>
      <c r="J115">
        <f t="shared" ref="J115:J117" si="44">H115/I115*100</f>
        <v>64.826839826839816</v>
      </c>
      <c r="L115" s="2" t="s">
        <v>443</v>
      </c>
      <c r="M115" s="2" t="s">
        <v>385</v>
      </c>
      <c r="N115" s="2" t="s">
        <v>452</v>
      </c>
      <c r="O115" s="2" t="s">
        <v>427</v>
      </c>
      <c r="P115" s="2" t="s">
        <v>418</v>
      </c>
      <c r="Q115" s="2" t="s">
        <v>490</v>
      </c>
      <c r="R115" s="2" t="s">
        <v>498</v>
      </c>
      <c r="S115" s="2" t="s">
        <v>432</v>
      </c>
      <c r="T115" s="2" t="s">
        <v>507</v>
      </c>
      <c r="U115" s="2" t="s">
        <v>382</v>
      </c>
      <c r="V115" s="2" t="s">
        <v>393</v>
      </c>
      <c r="W115" s="2" t="s">
        <v>392</v>
      </c>
      <c r="X115" s="2" t="s">
        <v>387</v>
      </c>
      <c r="Y115" s="2" t="s">
        <v>412</v>
      </c>
      <c r="Z115" s="2" t="s">
        <v>514</v>
      </c>
      <c r="AA115" s="2" t="s">
        <v>253</v>
      </c>
      <c r="AB115" s="2" t="s">
        <v>480</v>
      </c>
      <c r="AC115" s="2" t="s">
        <v>417</v>
      </c>
      <c r="AD115" s="2" t="s">
        <v>428</v>
      </c>
      <c r="AE115" s="2" t="s">
        <v>280</v>
      </c>
      <c r="AF115" s="2"/>
      <c r="AU115" s="2">
        <v>14</v>
      </c>
      <c r="AV115" s="2">
        <v>37</v>
      </c>
      <c r="AW115" s="2">
        <v>20</v>
      </c>
      <c r="AX115" s="2">
        <v>23</v>
      </c>
      <c r="AY115" s="2">
        <v>18</v>
      </c>
      <c r="AZ115" s="2">
        <v>36</v>
      </c>
      <c r="BA115" s="2">
        <v>76</v>
      </c>
      <c r="BB115" s="2">
        <v>35</v>
      </c>
      <c r="BC115" s="2">
        <v>40</v>
      </c>
      <c r="BD115" s="2">
        <v>33</v>
      </c>
      <c r="BE115" s="2">
        <v>27</v>
      </c>
      <c r="BF115" s="2">
        <v>19</v>
      </c>
      <c r="BG115" s="2">
        <v>31</v>
      </c>
      <c r="BH115" s="2">
        <v>29</v>
      </c>
      <c r="BI115" s="2">
        <v>41</v>
      </c>
      <c r="BJ115" s="2">
        <v>39</v>
      </c>
      <c r="BK115" s="2">
        <v>20</v>
      </c>
      <c r="BL115" s="2">
        <v>3</v>
      </c>
      <c r="BM115" s="2">
        <v>26</v>
      </c>
      <c r="BN115" s="2">
        <v>32</v>
      </c>
      <c r="BP115" s="2">
        <f t="shared" si="39"/>
        <v>599</v>
      </c>
    </row>
    <row r="116" spans="1:68">
      <c r="A116" t="s">
        <v>7</v>
      </c>
      <c r="B116">
        <v>636</v>
      </c>
      <c r="C116">
        <v>924</v>
      </c>
      <c r="D116">
        <f t="shared" si="43"/>
        <v>68.831168831168839</v>
      </c>
      <c r="G116" t="s">
        <v>7</v>
      </c>
      <c r="H116">
        <v>581</v>
      </c>
      <c r="I116">
        <v>924</v>
      </c>
      <c r="J116">
        <f t="shared" si="44"/>
        <v>62.878787878787875</v>
      </c>
      <c r="L116" s="2" t="s">
        <v>438</v>
      </c>
      <c r="M116" s="2" t="s">
        <v>431</v>
      </c>
      <c r="N116" s="2" t="s">
        <v>452</v>
      </c>
      <c r="O116" s="2" t="s">
        <v>427</v>
      </c>
      <c r="P116" s="2" t="s">
        <v>418</v>
      </c>
      <c r="Q116" s="2" t="s">
        <v>490</v>
      </c>
      <c r="R116" s="2" t="s">
        <v>495</v>
      </c>
      <c r="S116" s="2" t="s">
        <v>388</v>
      </c>
      <c r="T116" s="2" t="s">
        <v>508</v>
      </c>
      <c r="U116" s="2" t="s">
        <v>382</v>
      </c>
      <c r="V116" s="2" t="s">
        <v>412</v>
      </c>
      <c r="W116" s="2" t="s">
        <v>451</v>
      </c>
      <c r="X116" s="2" t="s">
        <v>391</v>
      </c>
      <c r="Y116" s="2" t="s">
        <v>411</v>
      </c>
      <c r="Z116" s="2" t="s">
        <v>514</v>
      </c>
      <c r="AA116" s="2" t="s">
        <v>253</v>
      </c>
      <c r="AB116" s="2" t="s">
        <v>418</v>
      </c>
      <c r="AC116" s="2" t="s">
        <v>414</v>
      </c>
      <c r="AD116" s="2" t="s">
        <v>426</v>
      </c>
      <c r="AE116" s="2" t="s">
        <v>277</v>
      </c>
      <c r="AF116" s="2"/>
      <c r="AU116" s="2">
        <v>12</v>
      </c>
      <c r="AV116" s="2">
        <v>34</v>
      </c>
      <c r="AW116" s="2">
        <v>20</v>
      </c>
      <c r="AX116" s="2">
        <v>23</v>
      </c>
      <c r="AY116" s="2">
        <v>18</v>
      </c>
      <c r="AZ116" s="2">
        <v>36</v>
      </c>
      <c r="BA116" s="2">
        <v>73</v>
      </c>
      <c r="BB116" s="2">
        <v>32</v>
      </c>
      <c r="BC116" s="2">
        <v>45</v>
      </c>
      <c r="BD116" s="2">
        <v>33</v>
      </c>
      <c r="BE116" s="2">
        <v>29</v>
      </c>
      <c r="BF116" s="2">
        <v>21</v>
      </c>
      <c r="BG116" s="2">
        <v>25</v>
      </c>
      <c r="BH116" s="2">
        <v>30</v>
      </c>
      <c r="BI116" s="2">
        <v>41</v>
      </c>
      <c r="BJ116" s="2">
        <v>39</v>
      </c>
      <c r="BK116" s="2">
        <v>18</v>
      </c>
      <c r="BL116" s="2">
        <v>5</v>
      </c>
      <c r="BM116" s="2">
        <v>21</v>
      </c>
      <c r="BN116" s="2">
        <v>26</v>
      </c>
      <c r="BP116" s="2">
        <f t="shared" si="39"/>
        <v>581</v>
      </c>
    </row>
    <row r="117" spans="1:68">
      <c r="A117" t="s">
        <v>8</v>
      </c>
      <c r="B117">
        <v>625</v>
      </c>
      <c r="C117">
        <v>924</v>
      </c>
      <c r="D117">
        <f t="shared" si="43"/>
        <v>67.640692640692649</v>
      </c>
      <c r="G117" t="s">
        <v>8</v>
      </c>
      <c r="H117">
        <v>582</v>
      </c>
      <c r="I117">
        <v>924</v>
      </c>
      <c r="J117">
        <f t="shared" si="44"/>
        <v>62.987012987012989</v>
      </c>
      <c r="L117" s="2" t="s">
        <v>404</v>
      </c>
      <c r="M117" s="2" t="s">
        <v>448</v>
      </c>
      <c r="N117" s="2" t="s">
        <v>452</v>
      </c>
      <c r="O117" s="2" t="s">
        <v>482</v>
      </c>
      <c r="P117" s="2" t="s">
        <v>418</v>
      </c>
      <c r="Q117" s="2" t="s">
        <v>490</v>
      </c>
      <c r="R117" s="2" t="s">
        <v>499</v>
      </c>
      <c r="S117" s="29" t="s">
        <v>388</v>
      </c>
      <c r="T117" s="2" t="s">
        <v>509</v>
      </c>
      <c r="U117" s="2" t="s">
        <v>382</v>
      </c>
      <c r="V117" s="2" t="s">
        <v>411</v>
      </c>
      <c r="W117" s="2" t="s">
        <v>391</v>
      </c>
      <c r="X117" s="2" t="s">
        <v>409</v>
      </c>
      <c r="Y117" s="2" t="s">
        <v>411</v>
      </c>
      <c r="Z117" s="31" t="s">
        <v>448</v>
      </c>
      <c r="AA117" s="2" t="s">
        <v>235</v>
      </c>
      <c r="AB117" s="2" t="s">
        <v>424</v>
      </c>
      <c r="AC117" s="2" t="s">
        <v>414</v>
      </c>
      <c r="AD117" s="2" t="s">
        <v>425</v>
      </c>
      <c r="AE117" s="2" t="s">
        <v>277</v>
      </c>
      <c r="AF117" s="2"/>
      <c r="AU117" s="2">
        <v>10</v>
      </c>
      <c r="AV117" s="2">
        <v>38</v>
      </c>
      <c r="AW117" s="2">
        <v>20</v>
      </c>
      <c r="AX117" s="2">
        <v>22</v>
      </c>
      <c r="AY117" s="2">
        <v>18</v>
      </c>
      <c r="AZ117" s="2">
        <v>36</v>
      </c>
      <c r="BA117" s="2">
        <v>69</v>
      </c>
      <c r="BB117" s="3">
        <v>32</v>
      </c>
      <c r="BC117" s="2">
        <v>43</v>
      </c>
      <c r="BD117" s="2">
        <v>33</v>
      </c>
      <c r="BE117" s="2">
        <v>30</v>
      </c>
      <c r="BF117" s="2">
        <v>25</v>
      </c>
      <c r="BG117" s="2">
        <v>23</v>
      </c>
      <c r="BH117" s="2">
        <v>30</v>
      </c>
      <c r="BI117" s="13">
        <v>38</v>
      </c>
      <c r="BJ117" s="2">
        <v>41</v>
      </c>
      <c r="BK117" s="2">
        <v>24</v>
      </c>
      <c r="BL117" s="2">
        <v>5</v>
      </c>
      <c r="BM117" s="2">
        <v>19</v>
      </c>
      <c r="BN117" s="2">
        <v>26</v>
      </c>
      <c r="BP117" s="2">
        <f t="shared" si="39"/>
        <v>582</v>
      </c>
    </row>
    <row r="118" spans="1:68"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P118" s="2"/>
    </row>
    <row r="119" spans="1:68">
      <c r="A119" t="s">
        <v>9</v>
      </c>
      <c r="B119">
        <v>712</v>
      </c>
      <c r="C119">
        <v>924</v>
      </c>
      <c r="D119">
        <f t="shared" ref="D119:D121" si="45">B119/C119*100</f>
        <v>77.056277056277054</v>
      </c>
      <c r="G119" t="s">
        <v>9</v>
      </c>
      <c r="H119">
        <v>624</v>
      </c>
      <c r="I119">
        <v>924</v>
      </c>
      <c r="J119">
        <f t="shared" ref="J119:J121" si="46">H119/I119*100</f>
        <v>67.532467532467535</v>
      </c>
      <c r="L119" s="2" t="s">
        <v>441</v>
      </c>
      <c r="M119" s="2" t="s">
        <v>385</v>
      </c>
      <c r="N119" s="2" t="s">
        <v>392</v>
      </c>
      <c r="O119" s="2" t="s">
        <v>482</v>
      </c>
      <c r="P119" s="2" t="s">
        <v>418</v>
      </c>
      <c r="Q119" s="2" t="s">
        <v>490</v>
      </c>
      <c r="R119" s="2" t="s">
        <v>492</v>
      </c>
      <c r="S119" s="29" t="s">
        <v>432</v>
      </c>
      <c r="T119" s="2" t="s">
        <v>509</v>
      </c>
      <c r="U119" s="2" t="s">
        <v>382</v>
      </c>
      <c r="V119" s="2" t="s">
        <v>393</v>
      </c>
      <c r="W119" s="2" t="s">
        <v>450</v>
      </c>
      <c r="X119" s="2" t="s">
        <v>455</v>
      </c>
      <c r="Y119" s="2" t="s">
        <v>411</v>
      </c>
      <c r="Z119" s="2" t="s">
        <v>509</v>
      </c>
      <c r="AA119" s="2" t="s">
        <v>259</v>
      </c>
      <c r="AB119" s="2" t="s">
        <v>428</v>
      </c>
      <c r="AC119" s="2" t="s">
        <v>396</v>
      </c>
      <c r="AD119" s="2" t="s">
        <v>487</v>
      </c>
      <c r="AE119" s="2" t="s">
        <v>280</v>
      </c>
      <c r="AF119" s="2"/>
      <c r="AU119" s="2">
        <v>13</v>
      </c>
      <c r="AV119" s="2">
        <v>37</v>
      </c>
      <c r="AW119" s="2">
        <v>19</v>
      </c>
      <c r="AX119" s="2">
        <v>22</v>
      </c>
      <c r="AY119" s="2">
        <v>18</v>
      </c>
      <c r="AZ119" s="2">
        <v>36</v>
      </c>
      <c r="BA119" s="2">
        <v>71</v>
      </c>
      <c r="BB119" s="3">
        <v>35</v>
      </c>
      <c r="BC119" s="2">
        <v>43</v>
      </c>
      <c r="BD119" s="2">
        <v>33</v>
      </c>
      <c r="BE119" s="2">
        <v>27</v>
      </c>
      <c r="BF119" s="2">
        <v>22</v>
      </c>
      <c r="BG119" s="2">
        <v>39</v>
      </c>
      <c r="BH119" s="2">
        <v>30</v>
      </c>
      <c r="BI119" s="2">
        <v>43</v>
      </c>
      <c r="BJ119" s="2">
        <v>43</v>
      </c>
      <c r="BK119" s="2">
        <v>26</v>
      </c>
      <c r="BL119" s="2">
        <v>7</v>
      </c>
      <c r="BM119" s="2">
        <v>28</v>
      </c>
      <c r="BN119" s="2">
        <v>32</v>
      </c>
      <c r="BP119" s="2">
        <f t="shared" si="39"/>
        <v>624</v>
      </c>
    </row>
    <row r="120" spans="1:68">
      <c r="A120" t="s">
        <v>10</v>
      </c>
      <c r="B120">
        <v>705</v>
      </c>
      <c r="C120">
        <v>924</v>
      </c>
      <c r="D120">
        <f t="shared" si="45"/>
        <v>76.298701298701303</v>
      </c>
      <c r="G120" t="s">
        <v>10</v>
      </c>
      <c r="H120">
        <v>620</v>
      </c>
      <c r="I120">
        <v>924</v>
      </c>
      <c r="J120">
        <f t="shared" si="46"/>
        <v>67.099567099567111</v>
      </c>
      <c r="L120" s="2" t="s">
        <v>441</v>
      </c>
      <c r="M120" s="2" t="s">
        <v>433</v>
      </c>
      <c r="N120" s="2" t="s">
        <v>452</v>
      </c>
      <c r="O120" s="2" t="s">
        <v>427</v>
      </c>
      <c r="P120" s="2" t="s">
        <v>418</v>
      </c>
      <c r="Q120" s="2" t="s">
        <v>490</v>
      </c>
      <c r="R120" s="2" t="s">
        <v>500</v>
      </c>
      <c r="S120" s="2" t="s">
        <v>433</v>
      </c>
      <c r="T120" s="2" t="s">
        <v>510</v>
      </c>
      <c r="U120" s="2" t="s">
        <v>382</v>
      </c>
      <c r="V120" s="2" t="s">
        <v>389</v>
      </c>
      <c r="W120" s="2" t="s">
        <v>450</v>
      </c>
      <c r="X120" s="2" t="s">
        <v>385</v>
      </c>
      <c r="Y120" s="2" t="s">
        <v>393</v>
      </c>
      <c r="Z120" s="2" t="s">
        <v>506</v>
      </c>
      <c r="AA120" s="2" t="s">
        <v>244</v>
      </c>
      <c r="AB120" s="2" t="s">
        <v>427</v>
      </c>
      <c r="AC120" s="2" t="s">
        <v>401</v>
      </c>
      <c r="AD120" s="2" t="s">
        <v>489</v>
      </c>
      <c r="AE120" s="2" t="s">
        <v>312</v>
      </c>
      <c r="AF120" s="2"/>
      <c r="AU120" s="2">
        <v>13</v>
      </c>
      <c r="AV120" s="2">
        <v>36</v>
      </c>
      <c r="AW120" s="2">
        <v>20</v>
      </c>
      <c r="AX120" s="2">
        <v>23</v>
      </c>
      <c r="AY120" s="2">
        <v>18</v>
      </c>
      <c r="AZ120" s="2">
        <v>36</v>
      </c>
      <c r="BA120" s="2">
        <v>74</v>
      </c>
      <c r="BB120" s="2">
        <v>36</v>
      </c>
      <c r="BC120" s="2">
        <v>44</v>
      </c>
      <c r="BD120" s="2">
        <v>33</v>
      </c>
      <c r="BE120" s="2">
        <v>28</v>
      </c>
      <c r="BF120" s="2">
        <v>22</v>
      </c>
      <c r="BG120" s="2">
        <v>37</v>
      </c>
      <c r="BH120" s="2">
        <v>27</v>
      </c>
      <c r="BI120" s="2">
        <v>42</v>
      </c>
      <c r="BJ120" s="2">
        <v>44</v>
      </c>
      <c r="BK120" s="2">
        <v>23</v>
      </c>
      <c r="BL120" s="2">
        <v>8</v>
      </c>
      <c r="BM120" s="2">
        <v>29</v>
      </c>
      <c r="BN120" s="2">
        <v>27</v>
      </c>
      <c r="BP120" s="2">
        <f t="shared" si="39"/>
        <v>620</v>
      </c>
    </row>
    <row r="121" spans="1:68">
      <c r="A121" t="s">
        <v>11</v>
      </c>
      <c r="B121">
        <v>696</v>
      </c>
      <c r="C121">
        <v>924</v>
      </c>
      <c r="D121">
        <f t="shared" si="45"/>
        <v>75.324675324675326</v>
      </c>
      <c r="G121" t="s">
        <v>11</v>
      </c>
      <c r="H121">
        <v>623</v>
      </c>
      <c r="I121">
        <v>924</v>
      </c>
      <c r="J121">
        <f t="shared" si="46"/>
        <v>67.424242424242422</v>
      </c>
      <c r="L121" s="2" t="s">
        <v>438</v>
      </c>
      <c r="M121" s="2" t="s">
        <v>387</v>
      </c>
      <c r="N121" s="2" t="s">
        <v>386</v>
      </c>
      <c r="O121" s="2" t="s">
        <v>482</v>
      </c>
      <c r="P121" s="2" t="s">
        <v>480</v>
      </c>
      <c r="Q121" s="2" t="s">
        <v>490</v>
      </c>
      <c r="R121" s="2" t="s">
        <v>500</v>
      </c>
      <c r="S121" s="29" t="s">
        <v>385</v>
      </c>
      <c r="T121" s="2" t="s">
        <v>506</v>
      </c>
      <c r="U121" s="2" t="s">
        <v>382</v>
      </c>
      <c r="V121" s="2" t="s">
        <v>389</v>
      </c>
      <c r="W121" s="2" t="s">
        <v>409</v>
      </c>
      <c r="X121" s="2" t="s">
        <v>455</v>
      </c>
      <c r="Y121" s="2" t="s">
        <v>393</v>
      </c>
      <c r="Z121" s="2" t="s">
        <v>506</v>
      </c>
      <c r="AA121" s="2" t="s">
        <v>235</v>
      </c>
      <c r="AB121" s="2" t="s">
        <v>487</v>
      </c>
      <c r="AC121" s="2" t="s">
        <v>401</v>
      </c>
      <c r="AD121" s="2" t="s">
        <v>427</v>
      </c>
      <c r="AE121" s="2" t="s">
        <v>276</v>
      </c>
      <c r="AF121" s="2"/>
      <c r="AU121" s="2">
        <v>12</v>
      </c>
      <c r="AV121" s="2">
        <v>31</v>
      </c>
      <c r="AW121" s="2">
        <v>26</v>
      </c>
      <c r="AX121" s="2">
        <v>22</v>
      </c>
      <c r="AY121" s="2">
        <v>20</v>
      </c>
      <c r="AZ121" s="2">
        <v>36</v>
      </c>
      <c r="BA121" s="2">
        <v>74</v>
      </c>
      <c r="BB121" s="3">
        <v>37</v>
      </c>
      <c r="BC121" s="2">
        <v>42</v>
      </c>
      <c r="BD121" s="2">
        <v>33</v>
      </c>
      <c r="BE121" s="2">
        <v>28</v>
      </c>
      <c r="BF121" s="2">
        <v>23</v>
      </c>
      <c r="BG121" s="2">
        <v>39</v>
      </c>
      <c r="BH121" s="2">
        <v>27</v>
      </c>
      <c r="BI121" s="2">
        <v>42</v>
      </c>
      <c r="BJ121" s="2">
        <v>41</v>
      </c>
      <c r="BK121" s="2">
        <v>28</v>
      </c>
      <c r="BL121" s="2">
        <v>8</v>
      </c>
      <c r="BM121" s="2">
        <v>23</v>
      </c>
      <c r="BN121" s="2">
        <v>31</v>
      </c>
      <c r="BP121" s="2">
        <f t="shared" si="39"/>
        <v>623</v>
      </c>
    </row>
    <row r="122" spans="1:68"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P122" s="2"/>
    </row>
    <row r="123" spans="1:68">
      <c r="A123" t="s">
        <v>377</v>
      </c>
      <c r="B123">
        <v>634</v>
      </c>
      <c r="C123">
        <v>924</v>
      </c>
      <c r="D123">
        <f t="shared" ref="D123:D125" si="47">B123/C123*100</f>
        <v>68.614718614718612</v>
      </c>
      <c r="G123" t="s">
        <v>377</v>
      </c>
      <c r="H123">
        <v>594</v>
      </c>
      <c r="I123">
        <v>924</v>
      </c>
      <c r="J123">
        <f t="shared" ref="J123:J125" si="48">H123/I123*100</f>
        <v>64.285714285714292</v>
      </c>
      <c r="L123" s="2" t="s">
        <v>443</v>
      </c>
      <c r="M123" s="2" t="s">
        <v>389</v>
      </c>
      <c r="N123" s="2" t="s">
        <v>451</v>
      </c>
      <c r="O123" s="2" t="s">
        <v>482</v>
      </c>
      <c r="P123" s="2" t="s">
        <v>425</v>
      </c>
      <c r="Q123" s="2" t="s">
        <v>490</v>
      </c>
      <c r="R123" s="2" t="s">
        <v>501</v>
      </c>
      <c r="S123" s="2" t="s">
        <v>433</v>
      </c>
      <c r="T123" s="2" t="s">
        <v>508</v>
      </c>
      <c r="U123" s="2" t="s">
        <v>382</v>
      </c>
      <c r="V123" s="2" t="s">
        <v>389</v>
      </c>
      <c r="W123" s="2" t="s">
        <v>389</v>
      </c>
      <c r="X123" s="2" t="s">
        <v>382</v>
      </c>
      <c r="Y123" s="2" t="s">
        <v>412</v>
      </c>
      <c r="Z123" s="2" t="s">
        <v>509</v>
      </c>
      <c r="AA123" s="2" t="s">
        <v>226</v>
      </c>
      <c r="AB123" s="2" t="s">
        <v>521</v>
      </c>
      <c r="AC123" s="2" t="s">
        <v>414</v>
      </c>
      <c r="AD123" s="2" t="s">
        <v>482</v>
      </c>
      <c r="AE123" s="2" t="s">
        <v>279</v>
      </c>
      <c r="AF123" s="2"/>
      <c r="AU123" s="2">
        <v>14</v>
      </c>
      <c r="AV123" s="2">
        <v>28</v>
      </c>
      <c r="AW123" s="2">
        <v>21</v>
      </c>
      <c r="AX123" s="2">
        <v>22</v>
      </c>
      <c r="AY123" s="2">
        <v>19</v>
      </c>
      <c r="AZ123" s="2">
        <v>36</v>
      </c>
      <c r="BA123" s="2">
        <v>61</v>
      </c>
      <c r="BB123" s="2">
        <v>36</v>
      </c>
      <c r="BC123" s="2">
        <v>45</v>
      </c>
      <c r="BD123" s="2">
        <v>33</v>
      </c>
      <c r="BE123" s="2">
        <v>28</v>
      </c>
      <c r="BF123" s="2">
        <v>28</v>
      </c>
      <c r="BG123" s="2">
        <v>33</v>
      </c>
      <c r="BH123" s="2">
        <v>29</v>
      </c>
      <c r="BI123" s="2">
        <v>43</v>
      </c>
      <c r="BJ123" s="2">
        <v>34</v>
      </c>
      <c r="BK123" s="2">
        <v>27</v>
      </c>
      <c r="BL123" s="2">
        <v>5</v>
      </c>
      <c r="BM123" s="2">
        <v>22</v>
      </c>
      <c r="BN123" s="2">
        <v>30</v>
      </c>
      <c r="BP123" s="2">
        <f t="shared" si="39"/>
        <v>594</v>
      </c>
    </row>
    <row r="124" spans="1:68">
      <c r="A124" t="s">
        <v>378</v>
      </c>
      <c r="B124">
        <v>579</v>
      </c>
      <c r="C124">
        <v>924</v>
      </c>
      <c r="D124">
        <f t="shared" si="47"/>
        <v>62.662337662337663</v>
      </c>
      <c r="G124" t="s">
        <v>378</v>
      </c>
      <c r="H124">
        <v>534</v>
      </c>
      <c r="I124">
        <v>924</v>
      </c>
      <c r="J124">
        <f t="shared" si="48"/>
        <v>57.792207792207797</v>
      </c>
      <c r="L124" s="2" t="s">
        <v>405</v>
      </c>
      <c r="M124" s="2" t="s">
        <v>412</v>
      </c>
      <c r="N124" s="2" t="s">
        <v>446</v>
      </c>
      <c r="O124" s="2" t="s">
        <v>426</v>
      </c>
      <c r="P124" s="2" t="s">
        <v>483</v>
      </c>
      <c r="Q124" s="2" t="s">
        <v>486</v>
      </c>
      <c r="R124" s="2" t="s">
        <v>501</v>
      </c>
      <c r="S124" s="2" t="s">
        <v>386</v>
      </c>
      <c r="T124" s="2" t="s">
        <v>411</v>
      </c>
      <c r="U124" s="2" t="s">
        <v>382</v>
      </c>
      <c r="V124" s="2" t="s">
        <v>409</v>
      </c>
      <c r="W124" s="2" t="s">
        <v>411</v>
      </c>
      <c r="X124" s="2" t="s">
        <v>387</v>
      </c>
      <c r="Y124" s="2" t="s">
        <v>409</v>
      </c>
      <c r="Z124" s="2" t="s">
        <v>510</v>
      </c>
      <c r="AA124" s="2" t="s">
        <v>519</v>
      </c>
      <c r="AB124" s="2" t="s">
        <v>480</v>
      </c>
      <c r="AC124" s="2" t="s">
        <v>402</v>
      </c>
      <c r="AD124" s="2" t="s">
        <v>427</v>
      </c>
      <c r="AE124" s="2" t="s">
        <v>280</v>
      </c>
      <c r="AF124" s="2"/>
      <c r="AU124" s="2">
        <v>11</v>
      </c>
      <c r="AV124" s="2">
        <v>29</v>
      </c>
      <c r="AW124" s="2">
        <v>16</v>
      </c>
      <c r="AX124" s="2">
        <v>21</v>
      </c>
      <c r="AY124" s="2">
        <v>12</v>
      </c>
      <c r="AZ124" s="2">
        <v>34</v>
      </c>
      <c r="BA124" s="2">
        <v>61</v>
      </c>
      <c r="BB124" s="2">
        <v>26</v>
      </c>
      <c r="BC124" s="2">
        <v>30</v>
      </c>
      <c r="BD124" s="2">
        <v>33</v>
      </c>
      <c r="BE124" s="2">
        <v>23</v>
      </c>
      <c r="BF124" s="2">
        <v>30</v>
      </c>
      <c r="BG124" s="2">
        <v>31</v>
      </c>
      <c r="BH124" s="2">
        <v>23</v>
      </c>
      <c r="BI124" s="2">
        <v>44</v>
      </c>
      <c r="BJ124" s="2">
        <v>31</v>
      </c>
      <c r="BK124" s="2">
        <v>20</v>
      </c>
      <c r="BL124" s="2">
        <v>4</v>
      </c>
      <c r="BM124" s="2">
        <v>23</v>
      </c>
      <c r="BN124" s="2">
        <v>32</v>
      </c>
      <c r="BP124" s="2">
        <f t="shared" si="39"/>
        <v>534</v>
      </c>
    </row>
    <row r="125" spans="1:68">
      <c r="A125" t="s">
        <v>379</v>
      </c>
      <c r="B125">
        <v>503</v>
      </c>
      <c r="C125">
        <v>924</v>
      </c>
      <c r="D125">
        <f t="shared" si="47"/>
        <v>54.437229437229441</v>
      </c>
      <c r="G125" t="s">
        <v>379</v>
      </c>
      <c r="H125">
        <v>478</v>
      </c>
      <c r="I125">
        <v>924</v>
      </c>
      <c r="J125">
        <f t="shared" si="48"/>
        <v>51.731601731601728</v>
      </c>
      <c r="L125" s="2" t="s">
        <v>404</v>
      </c>
      <c r="M125" s="2" t="s">
        <v>387</v>
      </c>
      <c r="N125" s="2" t="s">
        <v>434</v>
      </c>
      <c r="O125" s="2" t="s">
        <v>426</v>
      </c>
      <c r="P125" s="2" t="s">
        <v>481</v>
      </c>
      <c r="Q125" s="2" t="s">
        <v>424</v>
      </c>
      <c r="R125" s="2" t="s">
        <v>502</v>
      </c>
      <c r="S125" s="2" t="s">
        <v>412</v>
      </c>
      <c r="T125" s="2" t="s">
        <v>412</v>
      </c>
      <c r="U125" s="2" t="s">
        <v>382</v>
      </c>
      <c r="V125" s="2" t="s">
        <v>386</v>
      </c>
      <c r="W125" s="2" t="s">
        <v>412</v>
      </c>
      <c r="X125" s="2" t="s">
        <v>386</v>
      </c>
      <c r="Y125" s="2" t="s">
        <v>392</v>
      </c>
      <c r="Z125" s="2" t="s">
        <v>433</v>
      </c>
      <c r="AA125" s="2" t="s">
        <v>520</v>
      </c>
      <c r="AB125" s="2" t="s">
        <v>425</v>
      </c>
      <c r="AC125" s="2" t="s">
        <v>397</v>
      </c>
      <c r="AD125" s="2" t="s">
        <v>418</v>
      </c>
      <c r="AE125" s="2" t="s">
        <v>307</v>
      </c>
      <c r="AF125" s="2"/>
      <c r="AU125" s="2">
        <v>10</v>
      </c>
      <c r="AV125" s="2">
        <v>31</v>
      </c>
      <c r="AW125" s="2">
        <v>18</v>
      </c>
      <c r="AX125" s="2">
        <v>21</v>
      </c>
      <c r="AY125" s="2">
        <v>14</v>
      </c>
      <c r="AZ125" s="2">
        <v>24</v>
      </c>
      <c r="BA125" s="2">
        <v>51</v>
      </c>
      <c r="BB125" s="2">
        <v>29</v>
      </c>
      <c r="BC125" s="2">
        <v>29</v>
      </c>
      <c r="BD125" s="2">
        <v>33</v>
      </c>
      <c r="BE125" s="2">
        <v>26</v>
      </c>
      <c r="BF125" s="2">
        <v>29</v>
      </c>
      <c r="BG125" s="2">
        <v>26</v>
      </c>
      <c r="BH125" s="2">
        <v>19</v>
      </c>
      <c r="BI125" s="2">
        <v>36</v>
      </c>
      <c r="BJ125" s="2">
        <v>16</v>
      </c>
      <c r="BK125" s="2">
        <v>19</v>
      </c>
      <c r="BL125" s="2">
        <v>1</v>
      </c>
      <c r="BM125" s="2">
        <v>18</v>
      </c>
      <c r="BN125" s="2">
        <v>28</v>
      </c>
      <c r="BP125" s="2">
        <f t="shared" si="39"/>
        <v>478</v>
      </c>
    </row>
    <row r="126" spans="1:68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9" spans="1:10">
      <c r="A129" s="45" t="s">
        <v>208</v>
      </c>
      <c r="B129" s="45"/>
      <c r="C129" s="45"/>
      <c r="D129" s="45"/>
      <c r="G129" s="46" t="s">
        <v>471</v>
      </c>
      <c r="H129" s="46"/>
      <c r="I129" s="46"/>
      <c r="J129" s="46"/>
    </row>
    <row r="130" spans="1:10">
      <c r="A130" s="1" t="s">
        <v>12</v>
      </c>
      <c r="B130" s="1" t="s">
        <v>13</v>
      </c>
      <c r="C130" s="1" t="s">
        <v>14</v>
      </c>
      <c r="D130" s="1" t="s">
        <v>15</v>
      </c>
      <c r="G130" s="1" t="s">
        <v>12</v>
      </c>
      <c r="H130" s="1" t="s">
        <v>13</v>
      </c>
      <c r="I130" s="1" t="s">
        <v>14</v>
      </c>
      <c r="J130" s="1" t="s">
        <v>15</v>
      </c>
    </row>
    <row r="131" spans="1:10">
      <c r="A131" t="s">
        <v>16</v>
      </c>
      <c r="B131">
        <f>B105+B80+B54+B29+B4</f>
        <v>1538</v>
      </c>
      <c r="C131">
        <f>C105+C80+C54+C29+C4</f>
        <v>2101</v>
      </c>
      <c r="D131">
        <f>B131/C131*100</f>
        <v>73.203236554021899</v>
      </c>
      <c r="G131" t="s">
        <v>16</v>
      </c>
      <c r="H131">
        <f>H105+H80+H54+H29+H4</f>
        <v>1351</v>
      </c>
      <c r="I131">
        <f>I105+I80+I54+I29+I4</f>
        <v>2101</v>
      </c>
      <c r="J131">
        <f>H131/I131*100</f>
        <v>64.302712993812477</v>
      </c>
    </row>
    <row r="133" spans="1:10">
      <c r="A133" t="s">
        <v>1</v>
      </c>
      <c r="B133">
        <f>B107+B82+B56+B31+B6</f>
        <v>4216</v>
      </c>
      <c r="C133">
        <f>C107+C82+C56+C31+C6</f>
        <v>6303</v>
      </c>
      <c r="D133">
        <f t="shared" ref="D133:D135" si="49">B133/C133*100</f>
        <v>66.888783119149608</v>
      </c>
      <c r="G133" t="s">
        <v>1</v>
      </c>
      <c r="H133">
        <f t="shared" ref="H133:H151" si="50">H107+H82+H56+H31+H6</f>
        <v>3578</v>
      </c>
      <c r="I133">
        <f t="shared" ref="I133:I151" si="51">I107+I82+I56+I31+I6</f>
        <v>6303</v>
      </c>
      <c r="J133">
        <f t="shared" ref="J133:J135" si="52">H133/I133*100</f>
        <v>56.766619070283994</v>
      </c>
    </row>
    <row r="134" spans="1:10">
      <c r="A134" t="s">
        <v>2</v>
      </c>
      <c r="B134">
        <f t="shared" ref="B134:B150" si="53">B108+B83+B57+B32+B7</f>
        <v>3277</v>
      </c>
      <c r="C134">
        <f t="shared" ref="C134:C151" si="54">C108+C83+C57+C32+C7</f>
        <v>6303</v>
      </c>
      <c r="D134">
        <f t="shared" si="49"/>
        <v>51.991115341900681</v>
      </c>
      <c r="G134" t="s">
        <v>2</v>
      </c>
      <c r="H134">
        <f t="shared" si="50"/>
        <v>2666</v>
      </c>
      <c r="I134">
        <f t="shared" si="51"/>
        <v>6303</v>
      </c>
      <c r="J134">
        <f t="shared" si="52"/>
        <v>42.297318737109315</v>
      </c>
    </row>
    <row r="135" spans="1:10">
      <c r="A135" t="s">
        <v>0</v>
      </c>
      <c r="B135">
        <f t="shared" si="53"/>
        <v>2522</v>
      </c>
      <c r="C135">
        <f t="shared" si="54"/>
        <v>6303</v>
      </c>
      <c r="D135">
        <f t="shared" si="49"/>
        <v>40.01269236871331</v>
      </c>
      <c r="G135" t="s">
        <v>0</v>
      </c>
      <c r="H135">
        <f t="shared" si="50"/>
        <v>1890</v>
      </c>
      <c r="I135">
        <f t="shared" si="51"/>
        <v>6302</v>
      </c>
      <c r="J135">
        <f t="shared" si="52"/>
        <v>29.990479212948269</v>
      </c>
    </row>
    <row r="137" spans="1:10">
      <c r="A137" t="s">
        <v>3</v>
      </c>
      <c r="B137">
        <f>B111+B86+B60+B35+B10</f>
        <v>4421</v>
      </c>
      <c r="C137">
        <f t="shared" si="54"/>
        <v>6303</v>
      </c>
      <c r="D137">
        <f t="shared" ref="D137" si="55">B137/C137*100</f>
        <v>70.141202601935575</v>
      </c>
      <c r="G137" t="s">
        <v>3</v>
      </c>
      <c r="H137">
        <f t="shared" si="50"/>
        <v>3887</v>
      </c>
      <c r="I137">
        <f t="shared" si="51"/>
        <v>6303</v>
      </c>
      <c r="J137">
        <f t="shared" ref="J137:J139" si="56">H137/I137*100</f>
        <v>61.669046485800415</v>
      </c>
    </row>
    <row r="138" spans="1:10">
      <c r="A138" t="s">
        <v>4</v>
      </c>
      <c r="B138">
        <f t="shared" si="53"/>
        <v>4187</v>
      </c>
      <c r="C138">
        <f t="shared" si="54"/>
        <v>6303</v>
      </c>
      <c r="D138">
        <f>B138/C138*100</f>
        <v>66.428684753292075</v>
      </c>
      <c r="G138" t="s">
        <v>4</v>
      </c>
      <c r="H138">
        <f t="shared" si="50"/>
        <v>3395</v>
      </c>
      <c r="I138">
        <f t="shared" si="51"/>
        <v>6303</v>
      </c>
      <c r="J138">
        <f t="shared" si="56"/>
        <v>53.863239727114077</v>
      </c>
    </row>
    <row r="139" spans="1:10">
      <c r="A139" t="s">
        <v>5</v>
      </c>
      <c r="B139">
        <f t="shared" si="53"/>
        <v>3858</v>
      </c>
      <c r="C139">
        <f t="shared" si="54"/>
        <v>6303</v>
      </c>
      <c r="D139">
        <f t="shared" ref="D139" si="57">B139/C139*100</f>
        <v>61.208948119942889</v>
      </c>
      <c r="G139" t="s">
        <v>5</v>
      </c>
      <c r="H139">
        <f t="shared" si="50"/>
        <v>2772</v>
      </c>
      <c r="I139">
        <f t="shared" si="51"/>
        <v>6303</v>
      </c>
      <c r="J139">
        <f t="shared" si="56"/>
        <v>43.97905759162304</v>
      </c>
    </row>
    <row r="141" spans="1:10">
      <c r="A141" t="s">
        <v>6</v>
      </c>
      <c r="B141">
        <f t="shared" si="53"/>
        <v>4467</v>
      </c>
      <c r="C141">
        <f t="shared" si="54"/>
        <v>6303</v>
      </c>
      <c r="D141">
        <f t="shared" ref="D141:D143" si="58">B141/C141*100</f>
        <v>70.871013802950984</v>
      </c>
      <c r="G141" t="s">
        <v>6</v>
      </c>
      <c r="H141">
        <f t="shared" si="50"/>
        <v>4004</v>
      </c>
      <c r="I141">
        <f t="shared" si="51"/>
        <v>6303</v>
      </c>
      <c r="J141">
        <f t="shared" ref="J141:J143" si="59">H141/I141*100</f>
        <v>63.525305410122165</v>
      </c>
    </row>
    <row r="142" spans="1:10">
      <c r="A142" t="s">
        <v>7</v>
      </c>
      <c r="B142">
        <f t="shared" si="53"/>
        <v>4260</v>
      </c>
      <c r="C142">
        <f t="shared" si="54"/>
        <v>6303</v>
      </c>
      <c r="D142">
        <f t="shared" si="58"/>
        <v>67.586863398381723</v>
      </c>
      <c r="G142" t="s">
        <v>7</v>
      </c>
      <c r="H142">
        <f t="shared" si="50"/>
        <v>3854</v>
      </c>
      <c r="I142">
        <f t="shared" si="51"/>
        <v>6303</v>
      </c>
      <c r="J142">
        <f t="shared" si="59"/>
        <v>61.145486276376324</v>
      </c>
    </row>
    <row r="143" spans="1:10">
      <c r="A143" t="s">
        <v>8</v>
      </c>
      <c r="B143">
        <f t="shared" si="53"/>
        <v>4149</v>
      </c>
      <c r="C143">
        <f t="shared" si="54"/>
        <v>6303</v>
      </c>
      <c r="D143">
        <f t="shared" si="58"/>
        <v>65.825797239409795</v>
      </c>
      <c r="G143" t="s">
        <v>8</v>
      </c>
      <c r="H143">
        <f t="shared" si="50"/>
        <v>3762</v>
      </c>
      <c r="I143">
        <f t="shared" si="51"/>
        <v>6303</v>
      </c>
      <c r="J143">
        <f t="shared" si="59"/>
        <v>59.685863874345543</v>
      </c>
    </row>
    <row r="145" spans="1:10">
      <c r="A145" t="s">
        <v>9</v>
      </c>
      <c r="B145">
        <f t="shared" si="53"/>
        <v>4683</v>
      </c>
      <c r="C145">
        <f t="shared" si="54"/>
        <v>6303</v>
      </c>
      <c r="D145">
        <f t="shared" ref="D145:D147" si="60">B145/C145*100</f>
        <v>74.297953355544976</v>
      </c>
      <c r="G145" t="s">
        <v>9</v>
      </c>
      <c r="H145">
        <f t="shared" si="50"/>
        <v>4109</v>
      </c>
      <c r="I145">
        <f t="shared" si="51"/>
        <v>6303</v>
      </c>
      <c r="J145">
        <f t="shared" ref="J145:J147" si="61">H145/I145*100</f>
        <v>65.191178803744251</v>
      </c>
    </row>
    <row r="146" spans="1:10">
      <c r="A146" t="s">
        <v>10</v>
      </c>
      <c r="B146">
        <f t="shared" si="53"/>
        <v>4629</v>
      </c>
      <c r="C146">
        <f t="shared" si="54"/>
        <v>6303</v>
      </c>
      <c r="D146">
        <f t="shared" si="60"/>
        <v>73.441218467396467</v>
      </c>
      <c r="G146" t="s">
        <v>10</v>
      </c>
      <c r="H146">
        <f t="shared" si="50"/>
        <v>4038</v>
      </c>
      <c r="I146">
        <f t="shared" si="51"/>
        <v>6303</v>
      </c>
      <c r="J146">
        <f t="shared" si="61"/>
        <v>64.06473108043788</v>
      </c>
    </row>
    <row r="147" spans="1:10">
      <c r="A147" t="s">
        <v>11</v>
      </c>
      <c r="B147">
        <f t="shared" si="53"/>
        <v>4620</v>
      </c>
      <c r="C147">
        <f t="shared" si="54"/>
        <v>6303</v>
      </c>
      <c r="D147">
        <f t="shared" si="60"/>
        <v>73.298429319371721</v>
      </c>
      <c r="G147" t="s">
        <v>11</v>
      </c>
      <c r="H147">
        <f t="shared" si="50"/>
        <v>4046</v>
      </c>
      <c r="I147">
        <f t="shared" si="51"/>
        <v>6303</v>
      </c>
      <c r="J147">
        <f t="shared" si="61"/>
        <v>64.191654767570995</v>
      </c>
    </row>
    <row r="149" spans="1:10">
      <c r="A149" t="s">
        <v>377</v>
      </c>
      <c r="B149">
        <f t="shared" si="53"/>
        <v>4227</v>
      </c>
      <c r="C149">
        <f t="shared" si="54"/>
        <v>6303</v>
      </c>
      <c r="D149">
        <f t="shared" ref="D149:D151" si="62">B149/C149*100</f>
        <v>67.063303188957633</v>
      </c>
      <c r="G149" t="s">
        <v>377</v>
      </c>
      <c r="H149">
        <f t="shared" si="50"/>
        <v>3735</v>
      </c>
      <c r="I149">
        <f t="shared" si="51"/>
        <v>6303</v>
      </c>
      <c r="J149">
        <f t="shared" ref="J149:J151" si="63">H149/I149*100</f>
        <v>59.257496430271296</v>
      </c>
    </row>
    <row r="150" spans="1:10">
      <c r="A150" t="s">
        <v>378</v>
      </c>
      <c r="B150">
        <f t="shared" si="53"/>
        <v>3825</v>
      </c>
      <c r="C150">
        <f t="shared" si="54"/>
        <v>6303</v>
      </c>
      <c r="D150">
        <f t="shared" si="62"/>
        <v>60.685387910518799</v>
      </c>
      <c r="G150" t="s">
        <v>378</v>
      </c>
      <c r="H150">
        <f t="shared" si="50"/>
        <v>3391</v>
      </c>
      <c r="I150">
        <f t="shared" si="51"/>
        <v>6303</v>
      </c>
      <c r="J150">
        <f t="shared" si="63"/>
        <v>53.79977788354752</v>
      </c>
    </row>
    <row r="151" spans="1:10">
      <c r="A151" t="s">
        <v>379</v>
      </c>
      <c r="B151">
        <f>B125+B100+B74+B49+B24</f>
        <v>3364</v>
      </c>
      <c r="C151">
        <f t="shared" si="54"/>
        <v>6303</v>
      </c>
      <c r="D151">
        <f t="shared" si="62"/>
        <v>53.371410439473266</v>
      </c>
      <c r="G151" t="s">
        <v>379</v>
      </c>
      <c r="H151">
        <f t="shared" si="50"/>
        <v>3050</v>
      </c>
      <c r="I151">
        <f t="shared" si="51"/>
        <v>6303</v>
      </c>
      <c r="J151">
        <f t="shared" si="63"/>
        <v>48.389655719498656</v>
      </c>
    </row>
    <row r="154" spans="1:10">
      <c r="F154" s="38"/>
      <c r="G154" s="38"/>
    </row>
    <row r="155" spans="1:10">
      <c r="A155" s="44" t="s">
        <v>543</v>
      </c>
      <c r="B155" s="44"/>
      <c r="C155" s="44"/>
      <c r="D155" s="44"/>
      <c r="E155" s="44"/>
    </row>
    <row r="156" spans="1:10">
      <c r="A156" s="41" t="s">
        <v>547</v>
      </c>
      <c r="B156" s="3" t="s">
        <v>544</v>
      </c>
      <c r="C156" s="40" t="s">
        <v>545</v>
      </c>
      <c r="D156" s="39" t="s">
        <v>546</v>
      </c>
      <c r="E156" s="39"/>
      <c r="F156" s="39"/>
    </row>
    <row r="157" spans="1:10">
      <c r="A157" t="s">
        <v>16</v>
      </c>
      <c r="B157">
        <v>73.203236554021899</v>
      </c>
      <c r="C157">
        <v>64.302712993812477</v>
      </c>
      <c r="D157">
        <f>B157-C157</f>
        <v>8.9005235602094217</v>
      </c>
    </row>
    <row r="159" spans="1:10">
      <c r="A159" t="s">
        <v>1</v>
      </c>
      <c r="B159">
        <v>66.888783119149608</v>
      </c>
      <c r="C159">
        <v>56.766619070283994</v>
      </c>
      <c r="D159">
        <f t="shared" ref="D159:D177" si="64">B159-C159</f>
        <v>10.122164048865613</v>
      </c>
      <c r="F159" s="3"/>
    </row>
    <row r="160" spans="1:10">
      <c r="A160" t="s">
        <v>2</v>
      </c>
      <c r="B160">
        <v>51.991115341900681</v>
      </c>
      <c r="C160">
        <v>42.297318737109315</v>
      </c>
      <c r="D160">
        <f t="shared" si="64"/>
        <v>9.6937966047913662</v>
      </c>
      <c r="F160" s="3"/>
    </row>
    <row r="161" spans="1:6">
      <c r="A161" t="s">
        <v>0</v>
      </c>
      <c r="B161">
        <v>40.01269236871331</v>
      </c>
      <c r="C161">
        <v>29.990479212948269</v>
      </c>
      <c r="D161">
        <f t="shared" si="64"/>
        <v>10.022213155765041</v>
      </c>
      <c r="F161" s="3"/>
    </row>
    <row r="163" spans="1:6">
      <c r="A163" t="s">
        <v>3</v>
      </c>
      <c r="B163">
        <v>70.141202601935575</v>
      </c>
      <c r="C163">
        <v>61.669046485800415</v>
      </c>
      <c r="D163">
        <f t="shared" si="64"/>
        <v>8.4721561161351602</v>
      </c>
      <c r="F163" s="40"/>
    </row>
    <row r="164" spans="1:6">
      <c r="A164" t="s">
        <v>4</v>
      </c>
      <c r="B164">
        <v>66.428684753292075</v>
      </c>
      <c r="C164">
        <v>53.863239727114077</v>
      </c>
      <c r="D164">
        <f t="shared" si="64"/>
        <v>12.565445026177997</v>
      </c>
      <c r="F164" s="3"/>
    </row>
    <row r="165" spans="1:6">
      <c r="A165" t="s">
        <v>5</v>
      </c>
      <c r="B165">
        <v>61.208948119942889</v>
      </c>
      <c r="C165">
        <v>43.97905759162304</v>
      </c>
      <c r="D165">
        <f t="shared" si="64"/>
        <v>17.229890528319849</v>
      </c>
      <c r="F165" s="3"/>
    </row>
    <row r="167" spans="1:6">
      <c r="A167" t="s">
        <v>6</v>
      </c>
      <c r="B167">
        <v>70.871013802950984</v>
      </c>
      <c r="C167">
        <v>63.525305410122165</v>
      </c>
      <c r="D167">
        <f t="shared" si="64"/>
        <v>7.3457083928288185</v>
      </c>
      <c r="F167" s="40"/>
    </row>
    <row r="168" spans="1:6">
      <c r="A168" t="s">
        <v>7</v>
      </c>
      <c r="B168">
        <v>67.586863398381723</v>
      </c>
      <c r="C168">
        <v>61.145486276376324</v>
      </c>
      <c r="D168">
        <f t="shared" si="64"/>
        <v>6.4413771220053988</v>
      </c>
      <c r="F168" s="40"/>
    </row>
    <row r="169" spans="1:6">
      <c r="A169" t="s">
        <v>8</v>
      </c>
      <c r="B169">
        <v>65.825797239409795</v>
      </c>
      <c r="C169">
        <v>59.685863874345543</v>
      </c>
      <c r="D169">
        <f t="shared" si="64"/>
        <v>6.1399333650642518</v>
      </c>
      <c r="F169" s="40"/>
    </row>
    <row r="171" spans="1:6">
      <c r="A171" t="s">
        <v>9</v>
      </c>
      <c r="B171">
        <v>74.297953355544976</v>
      </c>
      <c r="C171">
        <v>65.191178803744251</v>
      </c>
      <c r="D171">
        <f t="shared" si="64"/>
        <v>9.1067745518007257</v>
      </c>
      <c r="F171" s="3"/>
    </row>
    <row r="172" spans="1:6">
      <c r="A172" t="s">
        <v>10</v>
      </c>
      <c r="B172">
        <v>73.441218467396467</v>
      </c>
      <c r="C172">
        <v>64.06473108043788</v>
      </c>
      <c r="D172">
        <f t="shared" si="64"/>
        <v>9.376487386958587</v>
      </c>
      <c r="F172" s="3"/>
    </row>
    <row r="173" spans="1:6">
      <c r="A173" t="s">
        <v>11</v>
      </c>
      <c r="B173">
        <v>73.298429319371721</v>
      </c>
      <c r="C173">
        <v>64.191654767570995</v>
      </c>
      <c r="D173">
        <f t="shared" si="64"/>
        <v>9.1067745518007257</v>
      </c>
      <c r="F173" s="3"/>
    </row>
    <row r="175" spans="1:6">
      <c r="A175" t="s">
        <v>377</v>
      </c>
      <c r="B175">
        <v>67.063303188957633</v>
      </c>
      <c r="C175">
        <v>59.257496430271296</v>
      </c>
      <c r="D175">
        <f t="shared" si="64"/>
        <v>7.8058067586863373</v>
      </c>
      <c r="F175" s="40"/>
    </row>
    <row r="176" spans="1:6">
      <c r="A176" t="s">
        <v>378</v>
      </c>
      <c r="B176">
        <v>60.685387910518799</v>
      </c>
      <c r="C176">
        <v>53.79977788354752</v>
      </c>
      <c r="D176">
        <f t="shared" si="64"/>
        <v>6.8856100269712783</v>
      </c>
      <c r="F176" s="40"/>
    </row>
    <row r="177" spans="1:6">
      <c r="A177" t="s">
        <v>379</v>
      </c>
      <c r="B177">
        <v>53.371410439473266</v>
      </c>
      <c r="C177">
        <v>48.389655719498656</v>
      </c>
      <c r="D177">
        <f t="shared" si="64"/>
        <v>4.9817547199746102</v>
      </c>
      <c r="F177" s="40"/>
    </row>
    <row r="183" spans="1:6">
      <c r="A183" s="41" t="s">
        <v>547</v>
      </c>
      <c r="B183" s="48" t="s">
        <v>544</v>
      </c>
      <c r="C183" s="48"/>
      <c r="D183" s="49" t="s">
        <v>545</v>
      </c>
      <c r="E183" s="49"/>
    </row>
    <row r="184" spans="1:6">
      <c r="A184" t="s">
        <v>16</v>
      </c>
      <c r="B184">
        <v>73.203236554021899</v>
      </c>
      <c r="D184">
        <v>64.302712993812477</v>
      </c>
    </row>
    <row r="186" spans="1:6">
      <c r="A186" t="s">
        <v>1</v>
      </c>
      <c r="B186">
        <v>66.888783119149608</v>
      </c>
      <c r="C186">
        <f>-(B184-B186)</f>
        <v>-6.3144534348722914</v>
      </c>
      <c r="D186">
        <v>56.766619070283994</v>
      </c>
      <c r="E186">
        <f>D186-D184</f>
        <v>-7.5360939235284832</v>
      </c>
    </row>
    <row r="187" spans="1:6">
      <c r="A187" t="s">
        <v>2</v>
      </c>
      <c r="B187">
        <v>51.991115341900681</v>
      </c>
      <c r="C187">
        <f>-(B184-B187)</f>
        <v>-21.212121212121218</v>
      </c>
      <c r="D187">
        <v>42.297318737109315</v>
      </c>
      <c r="E187">
        <f>D187-D184</f>
        <v>-22.005394256703163</v>
      </c>
    </row>
    <row r="188" spans="1:6">
      <c r="A188" t="s">
        <v>0</v>
      </c>
      <c r="B188">
        <v>40.01269236871331</v>
      </c>
      <c r="C188">
        <f>-(B184-B188)</f>
        <v>-33.190544185308589</v>
      </c>
      <c r="D188">
        <v>29.990479212948269</v>
      </c>
      <c r="E188">
        <f>D188-D184</f>
        <v>-34.312233780864204</v>
      </c>
    </row>
    <row r="190" spans="1:6">
      <c r="A190" t="s">
        <v>3</v>
      </c>
      <c r="B190">
        <v>70.141202601935575</v>
      </c>
      <c r="C190">
        <f>-(B184-B190)</f>
        <v>-3.062033952086324</v>
      </c>
      <c r="D190">
        <v>61.669046485800415</v>
      </c>
      <c r="E190">
        <f>D190-D184</f>
        <v>-2.6336665080120625</v>
      </c>
    </row>
    <row r="191" spans="1:6">
      <c r="A191" t="s">
        <v>4</v>
      </c>
      <c r="B191">
        <v>66.428684753292075</v>
      </c>
      <c r="C191">
        <f>-(B184-B191)</f>
        <v>-6.7745518007298244</v>
      </c>
      <c r="D191">
        <v>53.863239727114077</v>
      </c>
      <c r="E191">
        <f>D191-D184</f>
        <v>-10.4394732666984</v>
      </c>
    </row>
    <row r="192" spans="1:6">
      <c r="A192" t="s">
        <v>5</v>
      </c>
      <c r="B192">
        <v>61.208948119942889</v>
      </c>
      <c r="C192">
        <f>-(B184-B192)</f>
        <v>-11.99428843407901</v>
      </c>
      <c r="D192">
        <v>43.97905759162304</v>
      </c>
      <c r="E192">
        <f>D192-D184</f>
        <v>-20.323655402189438</v>
      </c>
    </row>
    <row r="194" spans="1:5">
      <c r="A194" t="s">
        <v>6</v>
      </c>
      <c r="B194">
        <v>70.871013802950984</v>
      </c>
      <c r="C194">
        <f>-(B184-B194)</f>
        <v>-2.3322227510709155</v>
      </c>
      <c r="D194">
        <v>63.525305410122165</v>
      </c>
      <c r="E194">
        <f>D194-D184</f>
        <v>-0.77740758369031226</v>
      </c>
    </row>
    <row r="195" spans="1:5">
      <c r="A195" t="s">
        <v>7</v>
      </c>
      <c r="B195">
        <v>67.586863398381723</v>
      </c>
      <c r="C195">
        <f>-(B184-B195)</f>
        <v>-5.6163731556401757</v>
      </c>
      <c r="D195">
        <v>61.145486276376324</v>
      </c>
      <c r="E195">
        <f>D195-D184</f>
        <v>-3.1572267174361528</v>
      </c>
    </row>
    <row r="196" spans="1:5">
      <c r="A196" t="s">
        <v>8</v>
      </c>
      <c r="B196">
        <v>65.825797239409795</v>
      </c>
      <c r="C196">
        <f>-(B184-B196)</f>
        <v>-7.3774393146121042</v>
      </c>
      <c r="D196">
        <v>59.685863874345543</v>
      </c>
      <c r="E196">
        <f>D196-D184</f>
        <v>-4.6168491194669343</v>
      </c>
    </row>
    <row r="198" spans="1:5">
      <c r="A198" t="s">
        <v>9</v>
      </c>
      <c r="B198">
        <v>74.297953355544976</v>
      </c>
      <c r="C198">
        <f>-(B184-B198)</f>
        <v>1.0947168015230773</v>
      </c>
      <c r="D198">
        <v>65.191178803744251</v>
      </c>
      <c r="E198">
        <f>D198-D184</f>
        <v>0.88846580993177326</v>
      </c>
    </row>
    <row r="199" spans="1:5">
      <c r="A199" t="s">
        <v>10</v>
      </c>
      <c r="B199">
        <v>73.441218467396467</v>
      </c>
      <c r="C199">
        <f>-(B184-B199)</f>
        <v>0.23798191337456842</v>
      </c>
      <c r="D199">
        <v>64.06473108043788</v>
      </c>
      <c r="E199">
        <f>D199-D184</f>
        <v>-0.23798191337459684</v>
      </c>
    </row>
    <row r="200" spans="1:5">
      <c r="A200" t="s">
        <v>11</v>
      </c>
      <c r="B200">
        <v>73.298429319371721</v>
      </c>
      <c r="C200">
        <f>(B184-B200)</f>
        <v>-9.5192765349821684E-2</v>
      </c>
      <c r="D200">
        <v>64.191654767570995</v>
      </c>
      <c r="E200">
        <f>D200-D184</f>
        <v>-0.11105822624148232</v>
      </c>
    </row>
    <row r="202" spans="1:5">
      <c r="A202" t="s">
        <v>377</v>
      </c>
      <c r="B202">
        <v>67.063303188957633</v>
      </c>
      <c r="C202">
        <f>B202-B184</f>
        <v>-6.139933365064266</v>
      </c>
      <c r="D202">
        <v>59.257496430271296</v>
      </c>
      <c r="E202">
        <f>D202-D184</f>
        <v>-5.0452165635411816</v>
      </c>
    </row>
    <row r="203" spans="1:5">
      <c r="A203" t="s">
        <v>378</v>
      </c>
      <c r="B203">
        <v>60.685387910518799</v>
      </c>
      <c r="C203">
        <f>B203-B184</f>
        <v>-12.5178486435031</v>
      </c>
      <c r="D203">
        <v>53.79977788354752</v>
      </c>
      <c r="E203">
        <f>D203-D184</f>
        <v>-10.502935110264957</v>
      </c>
    </row>
    <row r="204" spans="1:5">
      <c r="A204" t="s">
        <v>379</v>
      </c>
      <c r="B204">
        <v>53.371410439473266</v>
      </c>
      <c r="C204">
        <f>B204-B184</f>
        <v>-19.831826114548633</v>
      </c>
      <c r="D204">
        <v>48.389655719498656</v>
      </c>
      <c r="E204">
        <f>D204-D184</f>
        <v>-15.913057274313822</v>
      </c>
    </row>
    <row r="210" spans="1:1">
      <c r="A210" s="41"/>
    </row>
  </sheetData>
  <mergeCells count="15">
    <mergeCell ref="B183:C183"/>
    <mergeCell ref="D183:E183"/>
    <mergeCell ref="A155:E155"/>
    <mergeCell ref="A103:D103"/>
    <mergeCell ref="A129:D129"/>
    <mergeCell ref="A2:D2"/>
    <mergeCell ref="G2:J2"/>
    <mergeCell ref="A27:D27"/>
    <mergeCell ref="A52:D52"/>
    <mergeCell ref="A78:D78"/>
    <mergeCell ref="G27:J27"/>
    <mergeCell ref="G52:J52"/>
    <mergeCell ref="G78:J78"/>
    <mergeCell ref="G103:J103"/>
    <mergeCell ref="G129:J129"/>
  </mergeCells>
  <phoneticPr fontId="3" type="noConversion"/>
  <pageMargins left="0.7" right="0.7" top="0.75" bottom="0.75" header="0.3" footer="0.3"/>
  <ignoredErrors>
    <ignoredError sqref="N33 S2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A111-3C95-C044-94CD-063D13DD7F97}">
  <dimension ref="A1:E23"/>
  <sheetViews>
    <sheetView workbookViewId="0">
      <selection activeCell="F6" sqref="F6"/>
    </sheetView>
  </sheetViews>
  <sheetFormatPr baseColWidth="10" defaultRowHeight="16"/>
  <cols>
    <col min="1" max="1" width="30.83203125" bestFit="1" customWidth="1"/>
    <col min="2" max="2" width="27.6640625" customWidth="1"/>
    <col min="3" max="3" width="19.83203125" customWidth="1"/>
    <col min="5" max="5" width="33.5" bestFit="1" customWidth="1"/>
  </cols>
  <sheetData>
    <row r="1" spans="1:5">
      <c r="A1" s="42"/>
      <c r="B1" s="42" t="s">
        <v>549</v>
      </c>
      <c r="C1" s="47" t="s">
        <v>550</v>
      </c>
      <c r="D1" s="47"/>
    </row>
    <row r="2" spans="1:5">
      <c r="C2" t="s">
        <v>551</v>
      </c>
      <c r="D2" t="s">
        <v>552</v>
      </c>
    </row>
    <row r="3" spans="1:5">
      <c r="A3" t="s">
        <v>16</v>
      </c>
      <c r="B3" s="43">
        <v>2</v>
      </c>
      <c r="C3" s="43">
        <v>1</v>
      </c>
      <c r="D3" s="43">
        <v>1</v>
      </c>
    </row>
    <row r="4" spans="1:5">
      <c r="B4" s="43"/>
      <c r="C4" s="43"/>
      <c r="D4" s="43"/>
    </row>
    <row r="5" spans="1:5">
      <c r="A5" t="s">
        <v>1</v>
      </c>
      <c r="B5" s="43">
        <v>2</v>
      </c>
      <c r="C5" s="43">
        <v>1</v>
      </c>
      <c r="D5" s="43">
        <v>1</v>
      </c>
    </row>
    <row r="6" spans="1:5">
      <c r="A6" t="s">
        <v>2</v>
      </c>
      <c r="B6" s="43">
        <f>7+6+2</f>
        <v>15</v>
      </c>
      <c r="C6" s="43">
        <v>13</v>
      </c>
      <c r="D6" s="43">
        <v>2</v>
      </c>
    </row>
    <row r="7" spans="1:5">
      <c r="A7" t="s">
        <v>0</v>
      </c>
      <c r="B7" s="43">
        <f>8+1+1+3</f>
        <v>13</v>
      </c>
      <c r="C7" s="43">
        <v>5</v>
      </c>
      <c r="D7" s="43">
        <v>8</v>
      </c>
    </row>
    <row r="8" spans="1:5">
      <c r="B8" s="43"/>
      <c r="C8" s="43"/>
      <c r="D8" s="43"/>
    </row>
    <row r="9" spans="1:5">
      <c r="A9" t="s">
        <v>3</v>
      </c>
      <c r="B9" s="43">
        <f>2+1</f>
        <v>3</v>
      </c>
      <c r="C9" s="43">
        <v>2</v>
      </c>
      <c r="D9" s="43">
        <v>1</v>
      </c>
    </row>
    <row r="10" spans="1:5">
      <c r="A10" t="s">
        <v>4</v>
      </c>
      <c r="B10" s="43">
        <v>0</v>
      </c>
      <c r="C10" s="43">
        <v>0</v>
      </c>
      <c r="D10" s="43">
        <v>0</v>
      </c>
    </row>
    <row r="11" spans="1:5">
      <c r="A11" t="s">
        <v>5</v>
      </c>
      <c r="B11" s="43">
        <f>1+1</f>
        <v>2</v>
      </c>
      <c r="C11" s="43">
        <v>2</v>
      </c>
      <c r="D11" s="43">
        <v>0</v>
      </c>
    </row>
    <row r="12" spans="1:5">
      <c r="B12" s="43"/>
      <c r="C12" s="43"/>
      <c r="D12" s="43"/>
    </row>
    <row r="13" spans="1:5">
      <c r="A13" t="s">
        <v>6</v>
      </c>
      <c r="B13" s="43">
        <v>4</v>
      </c>
      <c r="C13" s="43">
        <v>4</v>
      </c>
      <c r="D13" s="43">
        <v>0</v>
      </c>
    </row>
    <row r="14" spans="1:5">
      <c r="A14" t="s">
        <v>7</v>
      </c>
      <c r="B14" s="43">
        <v>4</v>
      </c>
      <c r="C14" s="43">
        <v>4</v>
      </c>
      <c r="D14" s="43">
        <v>0</v>
      </c>
    </row>
    <row r="15" spans="1:5">
      <c r="A15" t="s">
        <v>8</v>
      </c>
      <c r="B15" s="43">
        <f>3+1+3+1</f>
        <v>8</v>
      </c>
      <c r="C15" s="43">
        <v>2</v>
      </c>
      <c r="D15" s="43">
        <v>6</v>
      </c>
      <c r="E15" s="2"/>
    </row>
    <row r="16" spans="1:5">
      <c r="B16" s="43"/>
      <c r="C16" s="43"/>
      <c r="D16" s="43"/>
    </row>
    <row r="17" spans="1:4">
      <c r="A17" t="s">
        <v>9</v>
      </c>
      <c r="B17" s="43">
        <f>7+1+1</f>
        <v>9</v>
      </c>
      <c r="C17" s="43">
        <v>5</v>
      </c>
      <c r="D17" s="43">
        <v>4</v>
      </c>
    </row>
    <row r="18" spans="1:4">
      <c r="A18" t="s">
        <v>10</v>
      </c>
      <c r="B18" s="43">
        <v>2</v>
      </c>
      <c r="C18" s="43">
        <v>2</v>
      </c>
      <c r="D18" s="43">
        <v>0</v>
      </c>
    </row>
    <row r="19" spans="1:4">
      <c r="A19" t="s">
        <v>11</v>
      </c>
      <c r="B19" s="43">
        <f>1+2</f>
        <v>3</v>
      </c>
      <c r="C19" s="43">
        <v>2</v>
      </c>
      <c r="D19" s="43">
        <v>1</v>
      </c>
    </row>
    <row r="20" spans="1:4">
      <c r="B20" s="43"/>
      <c r="C20" s="43"/>
      <c r="D20" s="43"/>
    </row>
    <row r="21" spans="1:4">
      <c r="A21" t="s">
        <v>377</v>
      </c>
      <c r="B21" s="43">
        <v>0</v>
      </c>
      <c r="C21" s="43">
        <v>0</v>
      </c>
      <c r="D21" s="43">
        <v>0</v>
      </c>
    </row>
    <row r="22" spans="1:4">
      <c r="A22" t="s">
        <v>378</v>
      </c>
      <c r="B22" s="43">
        <v>0</v>
      </c>
      <c r="C22" s="43">
        <v>0</v>
      </c>
      <c r="D22" s="43">
        <v>0</v>
      </c>
    </row>
    <row r="23" spans="1:4">
      <c r="A23" t="s">
        <v>379</v>
      </c>
      <c r="B23" s="43">
        <v>0</v>
      </c>
      <c r="C23" s="43">
        <v>0</v>
      </c>
      <c r="D23" s="43">
        <v>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Cesana</dc:creator>
  <cp:lastModifiedBy>Camilla Cesana</cp:lastModifiedBy>
  <dcterms:created xsi:type="dcterms:W3CDTF">2025-06-18T06:06:19Z</dcterms:created>
  <dcterms:modified xsi:type="dcterms:W3CDTF">2025-09-09T11:28:46Z</dcterms:modified>
</cp:coreProperties>
</file>