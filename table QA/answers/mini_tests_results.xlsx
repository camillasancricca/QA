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la/Desktop/"/>
    </mc:Choice>
  </mc:AlternateContent>
  <xr:revisionPtr revIDLastSave="0" documentId="8_{2DBEF8DE-C1E1-5B46-994A-0EEA510FABA9}" xr6:coauthVersionLast="47" xr6:coauthVersionMax="47" xr10:uidLastSave="{00000000-0000-0000-0000-000000000000}"/>
  <bookViews>
    <workbookView xWindow="0" yWindow="0" windowWidth="28800" windowHeight="18000" xr2:uid="{A9C3B014-E1E6-4947-A2E0-3309184590D9}"/>
  </bookViews>
  <sheets>
    <sheet name="Foglio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22" i="1" l="1"/>
  <c r="AC124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21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98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76" i="1"/>
  <c r="AL67" i="1"/>
  <c r="AL66" i="1"/>
  <c r="AL65" i="1"/>
  <c r="AL64" i="1"/>
  <c r="AL63" i="1"/>
  <c r="AL62" i="1"/>
  <c r="AL59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52" i="1"/>
  <c r="AL53" i="1"/>
  <c r="AL54" i="1"/>
  <c r="AL55" i="1"/>
  <c r="AL56" i="1"/>
  <c r="AL57" i="1"/>
  <c r="AL58" i="1"/>
  <c r="AL60" i="1"/>
  <c r="AL61" i="1"/>
  <c r="AL52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28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30" i="1"/>
  <c r="AL29" i="1"/>
  <c r="AL28" i="1"/>
  <c r="AC53" i="1"/>
  <c r="AP6" i="1" l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5" i="1"/>
  <c r="AD136" i="1" l="1"/>
  <c r="AC136" i="1"/>
  <c r="AE136" i="1" s="1"/>
  <c r="N136" i="1"/>
  <c r="M136" i="1"/>
  <c r="AD135" i="1"/>
  <c r="AC135" i="1"/>
  <c r="N135" i="1"/>
  <c r="M135" i="1"/>
  <c r="AD134" i="1"/>
  <c r="AC134" i="1"/>
  <c r="N134" i="1"/>
  <c r="M134" i="1"/>
  <c r="AD133" i="1"/>
  <c r="AC133" i="1"/>
  <c r="N133" i="1"/>
  <c r="M133" i="1"/>
  <c r="AD132" i="1"/>
  <c r="AC132" i="1"/>
  <c r="AE132" i="1" s="1"/>
  <c r="N132" i="1"/>
  <c r="M132" i="1"/>
  <c r="AD131" i="1"/>
  <c r="AC131" i="1"/>
  <c r="N131" i="1"/>
  <c r="M131" i="1"/>
  <c r="AD130" i="1"/>
  <c r="AC130" i="1"/>
  <c r="N130" i="1"/>
  <c r="M130" i="1"/>
  <c r="AD129" i="1"/>
  <c r="AC129" i="1"/>
  <c r="N129" i="1"/>
  <c r="M129" i="1"/>
  <c r="AD128" i="1"/>
  <c r="AC128" i="1"/>
  <c r="N128" i="1"/>
  <c r="M128" i="1"/>
  <c r="AD127" i="1"/>
  <c r="AC127" i="1"/>
  <c r="N127" i="1"/>
  <c r="M127" i="1"/>
  <c r="AD126" i="1"/>
  <c r="AC126" i="1"/>
  <c r="N126" i="1"/>
  <c r="M126" i="1"/>
  <c r="AD125" i="1"/>
  <c r="AC125" i="1"/>
  <c r="N125" i="1"/>
  <c r="M125" i="1"/>
  <c r="AD124" i="1"/>
  <c r="N124" i="1"/>
  <c r="M124" i="1"/>
  <c r="AD123" i="1"/>
  <c r="AC123" i="1"/>
  <c r="N123" i="1"/>
  <c r="M123" i="1"/>
  <c r="AD122" i="1"/>
  <c r="AC122" i="1"/>
  <c r="N122" i="1"/>
  <c r="M122" i="1"/>
  <c r="AD121" i="1"/>
  <c r="AC121" i="1"/>
  <c r="N121" i="1"/>
  <c r="M121" i="1"/>
  <c r="AD113" i="1"/>
  <c r="AC113" i="1"/>
  <c r="N113" i="1"/>
  <c r="M113" i="1"/>
  <c r="AD112" i="1"/>
  <c r="AC112" i="1"/>
  <c r="N112" i="1"/>
  <c r="M112" i="1"/>
  <c r="AD111" i="1"/>
  <c r="AC111" i="1"/>
  <c r="N111" i="1"/>
  <c r="M111" i="1"/>
  <c r="AD110" i="1"/>
  <c r="AC110" i="1"/>
  <c r="N110" i="1"/>
  <c r="M110" i="1"/>
  <c r="AD109" i="1"/>
  <c r="AC109" i="1"/>
  <c r="N109" i="1"/>
  <c r="M109" i="1"/>
  <c r="AD108" i="1"/>
  <c r="AC108" i="1"/>
  <c r="N108" i="1"/>
  <c r="M108" i="1"/>
  <c r="AD107" i="1"/>
  <c r="AC107" i="1"/>
  <c r="N107" i="1"/>
  <c r="M107" i="1"/>
  <c r="AD106" i="1"/>
  <c r="AC106" i="1"/>
  <c r="N106" i="1"/>
  <c r="M106" i="1"/>
  <c r="AD105" i="1"/>
  <c r="AC105" i="1"/>
  <c r="N105" i="1"/>
  <c r="M105" i="1"/>
  <c r="AD104" i="1"/>
  <c r="AC104" i="1"/>
  <c r="N104" i="1"/>
  <c r="M104" i="1"/>
  <c r="AD103" i="1"/>
  <c r="AC103" i="1"/>
  <c r="N103" i="1"/>
  <c r="M103" i="1"/>
  <c r="AD102" i="1"/>
  <c r="AC102" i="1"/>
  <c r="N102" i="1"/>
  <c r="M102" i="1"/>
  <c r="AD101" i="1"/>
  <c r="AC101" i="1"/>
  <c r="N101" i="1"/>
  <c r="M101" i="1"/>
  <c r="AD100" i="1"/>
  <c r="AC100" i="1"/>
  <c r="N100" i="1"/>
  <c r="M100" i="1"/>
  <c r="AD99" i="1"/>
  <c r="AC99" i="1"/>
  <c r="N99" i="1"/>
  <c r="M99" i="1"/>
  <c r="AD98" i="1"/>
  <c r="AC98" i="1"/>
  <c r="N98" i="1"/>
  <c r="M98" i="1"/>
  <c r="N76" i="1"/>
  <c r="M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N28" i="1"/>
  <c r="M28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52" i="1"/>
  <c r="AD91" i="1"/>
  <c r="AC91" i="1"/>
  <c r="AD90" i="1"/>
  <c r="AC90" i="1"/>
  <c r="AD89" i="1"/>
  <c r="AC89" i="1"/>
  <c r="AD88" i="1"/>
  <c r="AC88" i="1"/>
  <c r="AD87" i="1"/>
  <c r="AC87" i="1"/>
  <c r="AD86" i="1"/>
  <c r="AC86" i="1"/>
  <c r="AD85" i="1"/>
  <c r="AC85" i="1"/>
  <c r="AD84" i="1"/>
  <c r="AC84" i="1"/>
  <c r="AD83" i="1"/>
  <c r="AC83" i="1"/>
  <c r="AD82" i="1"/>
  <c r="AC82" i="1"/>
  <c r="AD81" i="1"/>
  <c r="AC81" i="1"/>
  <c r="AD80" i="1"/>
  <c r="AC80" i="1"/>
  <c r="AD79" i="1"/>
  <c r="AC79" i="1"/>
  <c r="AD78" i="1"/>
  <c r="AC78" i="1"/>
  <c r="AD77" i="1"/>
  <c r="AC77" i="1"/>
  <c r="AD76" i="1"/>
  <c r="AC76" i="1"/>
  <c r="AD67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D54" i="1"/>
  <c r="AC54" i="1"/>
  <c r="AD53" i="1"/>
  <c r="AD52" i="1"/>
  <c r="AC52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28" i="1"/>
  <c r="AC1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5" i="1"/>
  <c r="AC6" i="1"/>
  <c r="AC7" i="1"/>
  <c r="AC8" i="1"/>
  <c r="AC9" i="1"/>
  <c r="AC10" i="1"/>
  <c r="AC11" i="1"/>
  <c r="AC12" i="1"/>
  <c r="AC13" i="1"/>
  <c r="AC14" i="1"/>
  <c r="AC16" i="1"/>
  <c r="AC17" i="1"/>
  <c r="AC18" i="1"/>
  <c r="AC19" i="1"/>
  <c r="AC20" i="1"/>
  <c r="AC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5" i="1"/>
  <c r="AD43" i="1"/>
  <c r="O81" i="1" l="1"/>
  <c r="AE123" i="1"/>
  <c r="AE125" i="1"/>
  <c r="AE133" i="1"/>
  <c r="AE135" i="1"/>
  <c r="O78" i="1"/>
  <c r="O135" i="1"/>
  <c r="O80" i="1"/>
  <c r="O130" i="1"/>
  <c r="O134" i="1"/>
  <c r="AE127" i="1"/>
  <c r="AE131" i="1"/>
  <c r="AE129" i="1"/>
  <c r="AE121" i="1"/>
  <c r="AE124" i="1"/>
  <c r="AE126" i="1"/>
  <c r="O124" i="1"/>
  <c r="O128" i="1"/>
  <c r="O136" i="1"/>
  <c r="O132" i="1"/>
  <c r="O122" i="1"/>
  <c r="AE128" i="1"/>
  <c r="AE130" i="1"/>
  <c r="AE134" i="1"/>
  <c r="AE122" i="1"/>
  <c r="O127" i="1"/>
  <c r="O123" i="1"/>
  <c r="O129" i="1"/>
  <c r="O125" i="1"/>
  <c r="O131" i="1"/>
  <c r="O133" i="1"/>
  <c r="O126" i="1"/>
  <c r="O121" i="1"/>
  <c r="O98" i="1"/>
  <c r="O100" i="1"/>
  <c r="O103" i="1"/>
  <c r="AE110" i="1"/>
  <c r="AE101" i="1"/>
  <c r="AE103" i="1"/>
  <c r="AE105" i="1"/>
  <c r="AE109" i="1"/>
  <c r="AE111" i="1"/>
  <c r="AE113" i="1"/>
  <c r="AE108" i="1"/>
  <c r="AE104" i="1"/>
  <c r="AE100" i="1"/>
  <c r="O102" i="1"/>
  <c r="O108" i="1"/>
  <c r="O112" i="1"/>
  <c r="O107" i="1"/>
  <c r="O111" i="1"/>
  <c r="O99" i="1"/>
  <c r="O113" i="1"/>
  <c r="AE102" i="1"/>
  <c r="AE106" i="1"/>
  <c r="AE99" i="1"/>
  <c r="AE112" i="1"/>
  <c r="AE107" i="1"/>
  <c r="AE98" i="1"/>
  <c r="O105" i="1"/>
  <c r="O109" i="1"/>
  <c r="O104" i="1"/>
  <c r="O106" i="1"/>
  <c r="O101" i="1"/>
  <c r="O110" i="1"/>
  <c r="O85" i="1"/>
  <c r="AE84" i="1"/>
  <c r="AE91" i="1"/>
  <c r="AE90" i="1"/>
  <c r="AE76" i="1"/>
  <c r="O90" i="1"/>
  <c r="O89" i="1"/>
  <c r="O91" i="1"/>
  <c r="AE80" i="1"/>
  <c r="AE88" i="1"/>
  <c r="O87" i="1"/>
  <c r="O77" i="1"/>
  <c r="AE89" i="1"/>
  <c r="AE78" i="1"/>
  <c r="AE82" i="1"/>
  <c r="AE86" i="1"/>
  <c r="AE77" i="1"/>
  <c r="AE79" i="1"/>
  <c r="AE81" i="1"/>
  <c r="AE83" i="1"/>
  <c r="AE85" i="1"/>
  <c r="AE87" i="1"/>
  <c r="O83" i="1"/>
  <c r="O79" i="1"/>
  <c r="O76" i="1"/>
  <c r="O82" i="1"/>
  <c r="O84" i="1"/>
  <c r="O86" i="1"/>
  <c r="O88" i="1"/>
  <c r="O54" i="1"/>
  <c r="O53" i="1"/>
  <c r="O55" i="1"/>
  <c r="AD55" i="1"/>
  <c r="AE55" i="1" s="1"/>
  <c r="AE54" i="1"/>
  <c r="AE67" i="1"/>
  <c r="AE53" i="1"/>
  <c r="O52" i="1"/>
  <c r="AE52" i="1"/>
  <c r="AE36" i="1"/>
  <c r="AE40" i="1"/>
  <c r="AE33" i="1"/>
  <c r="AE37" i="1"/>
  <c r="AE41" i="1"/>
  <c r="AE30" i="1"/>
  <c r="AE34" i="1"/>
  <c r="AE38" i="1"/>
  <c r="AE42" i="1"/>
  <c r="AE39" i="1"/>
  <c r="AE43" i="1"/>
  <c r="AE28" i="1"/>
  <c r="AE32" i="1"/>
  <c r="AE29" i="1"/>
  <c r="AE31" i="1"/>
  <c r="AE35" i="1"/>
  <c r="O56" i="1" l="1"/>
  <c r="AD56" i="1"/>
  <c r="AE56" i="1" s="1"/>
  <c r="O32" i="1"/>
  <c r="O36" i="1"/>
  <c r="O40" i="1"/>
  <c r="O33" i="1"/>
  <c r="O29" i="1"/>
  <c r="O37" i="1"/>
  <c r="O31" i="1"/>
  <c r="O35" i="1"/>
  <c r="O39" i="1"/>
  <c r="O43" i="1"/>
  <c r="O41" i="1"/>
  <c r="O30" i="1"/>
  <c r="O38" i="1"/>
  <c r="O28" i="1"/>
  <c r="O42" i="1"/>
  <c r="O34" i="1"/>
  <c r="O57" i="1" l="1"/>
  <c r="AD57" i="1"/>
  <c r="AE57" i="1" s="1"/>
  <c r="AE8" i="1"/>
  <c r="AE14" i="1"/>
  <c r="AE12" i="1"/>
  <c r="AE16" i="1"/>
  <c r="AE20" i="1"/>
  <c r="AE9" i="1"/>
  <c r="AE13" i="1"/>
  <c r="AE6" i="1"/>
  <c r="AE18" i="1"/>
  <c r="AE7" i="1"/>
  <c r="AE11" i="1"/>
  <c r="AE15" i="1"/>
  <c r="AE19" i="1"/>
  <c r="AE5" i="1"/>
  <c r="AE17" i="1"/>
  <c r="AE10" i="1"/>
  <c r="O7" i="1"/>
  <c r="O8" i="1"/>
  <c r="O5" i="1"/>
  <c r="O6" i="1"/>
  <c r="O58" i="1" l="1"/>
  <c r="AD58" i="1"/>
  <c r="AE58" i="1" s="1"/>
  <c r="O9" i="1"/>
  <c r="O59" i="1" l="1"/>
  <c r="AD59" i="1"/>
  <c r="AE59" i="1" s="1"/>
  <c r="O10" i="1"/>
  <c r="O60" i="1" l="1"/>
  <c r="AD60" i="1"/>
  <c r="AE60" i="1" s="1"/>
  <c r="O11" i="1"/>
  <c r="O61" i="1" l="1"/>
  <c r="AD61" i="1"/>
  <c r="AE61" i="1" s="1"/>
  <c r="O12" i="1"/>
  <c r="O62" i="1" l="1"/>
  <c r="AD62" i="1"/>
  <c r="AE62" i="1" s="1"/>
  <c r="O13" i="1"/>
  <c r="O63" i="1" l="1"/>
  <c r="AD63" i="1"/>
  <c r="AE63" i="1" s="1"/>
  <c r="O14" i="1"/>
  <c r="O64" i="1" l="1"/>
  <c r="AD64" i="1"/>
  <c r="AE64" i="1" s="1"/>
  <c r="O15" i="1"/>
  <c r="O65" i="1" l="1"/>
  <c r="AD65" i="1"/>
  <c r="AE65" i="1" s="1"/>
  <c r="O16" i="1"/>
  <c r="O67" i="1" l="1"/>
  <c r="O66" i="1"/>
  <c r="AD66" i="1"/>
  <c r="AE66" i="1" s="1"/>
  <c r="O17" i="1"/>
  <c r="O18" i="1" l="1"/>
  <c r="O19" i="1" l="1"/>
  <c r="O20" i="1"/>
</calcChain>
</file>

<file path=xl/sharedStrings.xml><?xml version="1.0" encoding="utf-8"?>
<sst xmlns="http://schemas.openxmlformats.org/spreadsheetml/2006/main" count="591" uniqueCount="61">
  <si>
    <t>CLEAN</t>
  </si>
  <si>
    <t>COMPLETENESS 90%</t>
  </si>
  <si>
    <t>DUPLICATION  90%</t>
  </si>
  <si>
    <t>OUTLIERS 90%</t>
  </si>
  <si>
    <t>TYPOS 90%</t>
  </si>
  <si>
    <t>SEMANTIC ACCURACY 90%</t>
  </si>
  <si>
    <t>COMPLETENESS 70%</t>
  </si>
  <si>
    <t>DUPLICATION 70%</t>
  </si>
  <si>
    <t>OUTLIERS 70%</t>
  </si>
  <si>
    <t>TYPOS 70%</t>
  </si>
  <si>
    <t>SEMANTIC ACCURACY 70%</t>
  </si>
  <si>
    <t>COMPLETENESS 50%</t>
  </si>
  <si>
    <t>DUPLICATION 50%</t>
  </si>
  <si>
    <t>OUTLIERS 50%</t>
  </si>
  <si>
    <t>TYPOS 50%</t>
  </si>
  <si>
    <t>SEMANTIC ACCURACY 50%</t>
  </si>
  <si>
    <t>CORRECT</t>
  </si>
  <si>
    <t>TOT</t>
  </si>
  <si>
    <t>PERC</t>
  </si>
  <si>
    <t>CHATGPT</t>
  </si>
  <si>
    <t>GEMINI</t>
  </si>
  <si>
    <t>TOP 50 PER MENO NUMERO CELLE</t>
  </si>
  <si>
    <t>0-100</t>
  </si>
  <si>
    <t>101-150</t>
  </si>
  <si>
    <t>151-200</t>
  </si>
  <si>
    <t>201-250</t>
  </si>
  <si>
    <t>251-327</t>
  </si>
  <si>
    <t>DUPLICATION  50%</t>
  </si>
  <si>
    <t>DUPLICATION 90%</t>
  </si>
  <si>
    <t>TOP 50 PER PIU NUMERO CELLE</t>
  </si>
  <si>
    <t>TOP 50 PER PIU % CELLE NUMERICHE</t>
  </si>
  <si>
    <t>TOP 50 PER PIU % CELLE CATEGORICHE</t>
  </si>
  <si>
    <t>DA CAPIRE PER</t>
  </si>
  <si>
    <t>LUNGHEZZA STRINGHE</t>
  </si>
  <si>
    <t>DEVIAZIONE STANDAD NUMERI</t>
  </si>
  <si>
    <t>NUM DI RIGHE</t>
  </si>
  <si>
    <t>TOP 50 PER PIU DOMANDE</t>
  </si>
  <si>
    <t>TOP 50 PER MENO DOMANDE</t>
  </si>
  <si>
    <t>&gt; Accuracy completeness 90%</t>
  </si>
  <si>
    <t>&gt; Accuracy completeness 70%</t>
  </si>
  <si>
    <t>&gt; Accuracy completeness 50%</t>
  </si>
  <si>
    <t>&gt; Accuracy typos_accuracy 90%</t>
  </si>
  <si>
    <t>&gt; Accuracy typos_accuracy 70%</t>
  </si>
  <si>
    <t>&gt; Accuracy typos_accuracy 50%</t>
  </si>
  <si>
    <t>&gt; Accuracy outliers_accuracy 90%</t>
  </si>
  <si>
    <t>&gt; Accuracy outliers_accuracy 70%</t>
  </si>
  <si>
    <t>&gt; Accuracy outliers_accuracy 50%</t>
  </si>
  <si>
    <t>&gt; Accuracy duplication 90%</t>
  </si>
  <si>
    <t>&gt; Accuracy duplication 70%</t>
  </si>
  <si>
    <t>&gt; Accuracy duplication 50%</t>
  </si>
  <si>
    <t>&gt; Accuracy semantic_accuracy 90%</t>
  </si>
  <si>
    <t>&gt; Accuracy Clean </t>
  </si>
  <si>
    <t>GPT</t>
  </si>
  <si>
    <t>&gt; Accuracy semantic_accuracy 70% </t>
  </si>
  <si>
    <t>&gt; Accuracy semantic_accuracy 50% </t>
  </si>
  <si>
    <t>COME DIFFERENZA MEGLIO CONSIDERARE QUELLA SU TUTTO IL DATASET O QUESTA?</t>
  </si>
  <si>
    <t>da testare</t>
  </si>
  <si>
    <t>da capire perché gemini è piu bravo con i numeri</t>
  </si>
  <si>
    <t>meglio nel benshmark math 500</t>
  </si>
  <si>
    <t>probabilmente grazie al chain of thoat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</si>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</sst>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1F1F1F"/>
      <name val="Courier New"/>
      <family val="1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0" fillId="3" borderId="0" xfId="0" applyFill="1"/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0" fillId="6" borderId="0" xfId="0" applyFill="1"/>
    <xf numFmtId="0" fontId="0" fillId="4" borderId="0" xfId="0" applyFill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228D-D0A3-834E-A00F-9042124D249E}">
  <dimension ref="A1:AZ146"/>
  <sheetViews>
    <sheetView tabSelected="1" topLeftCell="AA2" zoomScaleNormal="69" workbookViewId="0">
      <selection activeCell="AS129" sqref="AS129"/>
    </sheetView>
  </sheetViews>
  <sheetFormatPr baseColWidth="10" defaultRowHeight="16" x14ac:dyDescent="0.2"/>
  <cols>
    <col min="1" max="1" width="30.83203125" customWidth="1"/>
    <col min="11" max="11" width="12.5" bestFit="1" customWidth="1"/>
    <col min="17" max="17" width="24.6640625" customWidth="1"/>
    <col min="34" max="34" width="34.6640625" customWidth="1"/>
    <col min="47" max="47" width="25" bestFit="1" customWidth="1"/>
    <col min="50" max="50" width="29.6640625" customWidth="1"/>
  </cols>
  <sheetData>
    <row r="1" spans="1:52" x14ac:dyDescent="0.2">
      <c r="A1" t="s">
        <v>21</v>
      </c>
    </row>
    <row r="2" spans="1:52" x14ac:dyDescent="0.2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Q2" s="8" t="s">
        <v>20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H2" s="6"/>
      <c r="AI2" s="6"/>
      <c r="AJ2" s="6"/>
      <c r="AK2" s="6"/>
      <c r="AL2" s="6"/>
      <c r="AM2" s="6"/>
      <c r="AN2" s="6"/>
      <c r="AO2" s="6"/>
      <c r="AP2" s="6"/>
    </row>
    <row r="3" spans="1:52" x14ac:dyDescent="0.2">
      <c r="A3" s="2"/>
      <c r="B3" s="9" t="s">
        <v>22</v>
      </c>
      <c r="C3" s="9"/>
      <c r="D3" s="9" t="s">
        <v>23</v>
      </c>
      <c r="E3" s="9"/>
      <c r="F3" s="9" t="s">
        <v>24</v>
      </c>
      <c r="G3" s="9"/>
      <c r="H3" s="9" t="s">
        <v>25</v>
      </c>
      <c r="I3" s="9"/>
      <c r="J3" s="9" t="s">
        <v>26</v>
      </c>
      <c r="K3" s="9"/>
      <c r="L3" s="2"/>
      <c r="M3" s="2"/>
      <c r="N3" s="2"/>
      <c r="O3" s="2"/>
      <c r="Q3" s="2"/>
      <c r="R3" s="9" t="s">
        <v>22</v>
      </c>
      <c r="S3" s="9"/>
      <c r="T3" s="9" t="s">
        <v>23</v>
      </c>
      <c r="U3" s="9"/>
      <c r="V3" s="9" t="s">
        <v>24</v>
      </c>
      <c r="W3" s="9"/>
      <c r="X3" s="9" t="s">
        <v>25</v>
      </c>
      <c r="Y3" s="9"/>
      <c r="Z3" s="9" t="s">
        <v>26</v>
      </c>
      <c r="AA3" s="9"/>
      <c r="AB3" s="2"/>
      <c r="AC3" s="2"/>
      <c r="AD3" s="2"/>
      <c r="AE3" s="2"/>
      <c r="AI3" s="8" t="s">
        <v>52</v>
      </c>
      <c r="AJ3" s="8"/>
      <c r="AK3" s="8"/>
      <c r="AL3" s="8"/>
      <c r="AM3" s="7" t="s">
        <v>20</v>
      </c>
      <c r="AN3" s="7"/>
      <c r="AO3" s="7"/>
      <c r="AP3" s="7"/>
    </row>
    <row r="4" spans="1:52" x14ac:dyDescent="0.2">
      <c r="B4" t="s">
        <v>16</v>
      </c>
      <c r="C4" t="s">
        <v>17</v>
      </c>
      <c r="D4" t="s">
        <v>16</v>
      </c>
      <c r="E4" t="s">
        <v>17</v>
      </c>
      <c r="F4" t="s">
        <v>16</v>
      </c>
      <c r="G4" t="s">
        <v>17</v>
      </c>
      <c r="H4" t="s">
        <v>16</v>
      </c>
      <c r="I4" t="s">
        <v>17</v>
      </c>
      <c r="J4" t="s">
        <v>16</v>
      </c>
      <c r="K4" t="s">
        <v>17</v>
      </c>
      <c r="M4" t="s">
        <v>16</v>
      </c>
      <c r="N4" t="s">
        <v>17</v>
      </c>
      <c r="O4" t="s">
        <v>18</v>
      </c>
      <c r="R4" t="s">
        <v>16</v>
      </c>
      <c r="S4" t="s">
        <v>17</v>
      </c>
      <c r="T4" t="s">
        <v>16</v>
      </c>
      <c r="U4" t="s">
        <v>17</v>
      </c>
      <c r="V4" t="s">
        <v>16</v>
      </c>
      <c r="W4" t="s">
        <v>17</v>
      </c>
      <c r="X4" t="s">
        <v>16</v>
      </c>
      <c r="Y4" t="s">
        <v>17</v>
      </c>
      <c r="Z4" t="s">
        <v>16</v>
      </c>
      <c r="AA4" t="s">
        <v>17</v>
      </c>
      <c r="AC4" t="s">
        <v>16</v>
      </c>
      <c r="AD4" t="s">
        <v>17</v>
      </c>
      <c r="AE4" t="s">
        <v>18</v>
      </c>
      <c r="AI4" t="s">
        <v>16</v>
      </c>
      <c r="AJ4" t="s">
        <v>17</v>
      </c>
      <c r="AK4" t="s">
        <v>18</v>
      </c>
      <c r="AL4" t="s">
        <v>60</v>
      </c>
      <c r="AM4" t="s">
        <v>16</v>
      </c>
      <c r="AN4" t="s">
        <v>17</v>
      </c>
      <c r="AO4" t="s">
        <v>18</v>
      </c>
      <c r="AP4" t="s">
        <v>60</v>
      </c>
      <c r="AQ4" t="s">
        <v>55</v>
      </c>
      <c r="AY4">
        <v>73.203236554021899</v>
      </c>
      <c r="AZ4">
        <v>64.302712993812477</v>
      </c>
    </row>
    <row r="5" spans="1:52" ht="19" x14ac:dyDescent="0.25">
      <c r="A5" t="s">
        <v>0</v>
      </c>
      <c r="B5" s="1">
        <v>107</v>
      </c>
      <c r="C5" s="1">
        <v>149</v>
      </c>
      <c r="D5" s="1">
        <v>23</v>
      </c>
      <c r="E5" s="1">
        <v>29</v>
      </c>
      <c r="F5" s="1">
        <v>11</v>
      </c>
      <c r="G5" s="1">
        <v>20</v>
      </c>
      <c r="H5" s="1">
        <v>26</v>
      </c>
      <c r="I5" s="1">
        <v>36</v>
      </c>
      <c r="J5" s="1">
        <v>38</v>
      </c>
      <c r="K5" s="1">
        <v>56</v>
      </c>
      <c r="M5">
        <f>B5+D5+F5+H5+J5</f>
        <v>205</v>
      </c>
      <c r="N5">
        <f>C5+E5+G5+I5+K5</f>
        <v>290</v>
      </c>
      <c r="O5">
        <f>M5/N5*100</f>
        <v>70.689655172413794</v>
      </c>
      <c r="Q5" t="s">
        <v>0</v>
      </c>
      <c r="R5" s="1">
        <v>91</v>
      </c>
      <c r="S5" s="1">
        <v>149</v>
      </c>
      <c r="T5" s="1">
        <v>21</v>
      </c>
      <c r="U5" s="1">
        <v>29</v>
      </c>
      <c r="V5" s="1">
        <v>10</v>
      </c>
      <c r="W5" s="1">
        <v>20</v>
      </c>
      <c r="X5" s="1">
        <v>26</v>
      </c>
      <c r="Y5" s="1">
        <v>36</v>
      </c>
      <c r="Z5" s="1">
        <v>40</v>
      </c>
      <c r="AA5" s="1">
        <v>56</v>
      </c>
      <c r="AC5">
        <f>R5+T5+V5+X5+Z5</f>
        <v>188</v>
      </c>
      <c r="AD5">
        <f>S5+U5+W5+Y5+AA5</f>
        <v>290</v>
      </c>
      <c r="AE5">
        <f>AC5/AD5*100</f>
        <v>64.827586206896541</v>
      </c>
      <c r="AH5" s="5" t="s">
        <v>51</v>
      </c>
      <c r="AI5">
        <v>205</v>
      </c>
      <c r="AJ5">
        <v>290</v>
      </c>
      <c r="AK5">
        <v>70.689655172413794</v>
      </c>
      <c r="AL5" s="10">
        <f t="shared" ref="AL5:AL20" si="0">AY4-AO5</f>
        <v>8.3756503471253581</v>
      </c>
      <c r="AM5">
        <v>188</v>
      </c>
      <c r="AN5">
        <v>290</v>
      </c>
      <c r="AO5">
        <v>64.827586206896541</v>
      </c>
      <c r="AP5" s="11">
        <f>AZ4-AO5</f>
        <v>-0.52487321308406365</v>
      </c>
      <c r="AY5">
        <v>66.888783119149608</v>
      </c>
      <c r="AZ5">
        <v>56.766619070283994</v>
      </c>
    </row>
    <row r="6" spans="1:52" ht="19" x14ac:dyDescent="0.25">
      <c r="A6" t="s">
        <v>1</v>
      </c>
      <c r="B6" s="1">
        <v>253</v>
      </c>
      <c r="C6" s="1">
        <v>447</v>
      </c>
      <c r="D6" s="1">
        <v>75</v>
      </c>
      <c r="E6" s="1">
        <v>87</v>
      </c>
      <c r="F6" s="1">
        <v>27</v>
      </c>
      <c r="G6" s="1">
        <v>60</v>
      </c>
      <c r="H6" s="1">
        <v>77</v>
      </c>
      <c r="I6" s="1">
        <v>108</v>
      </c>
      <c r="J6" s="1">
        <v>100</v>
      </c>
      <c r="K6" s="1">
        <v>168</v>
      </c>
      <c r="M6">
        <f t="shared" ref="M6:M20" si="1">B6+D6+F6+H6+J6</f>
        <v>532</v>
      </c>
      <c r="N6">
        <f t="shared" ref="N6:N20" si="2">C6+E6+G6+I6+K6</f>
        <v>870</v>
      </c>
      <c r="O6">
        <f t="shared" ref="O6:O20" si="3">M6/N6*100</f>
        <v>61.149425287356316</v>
      </c>
      <c r="Q6" t="s">
        <v>1</v>
      </c>
      <c r="R6" s="1">
        <v>218</v>
      </c>
      <c r="S6" s="1">
        <v>447</v>
      </c>
      <c r="T6" s="1">
        <v>63</v>
      </c>
      <c r="U6" s="1">
        <v>87</v>
      </c>
      <c r="V6" s="1">
        <v>25</v>
      </c>
      <c r="W6" s="1">
        <v>60</v>
      </c>
      <c r="X6" s="1">
        <v>64</v>
      </c>
      <c r="Y6" s="1">
        <v>108</v>
      </c>
      <c r="Z6" s="1">
        <v>100</v>
      </c>
      <c r="AA6" s="1">
        <v>168</v>
      </c>
      <c r="AC6">
        <f t="shared" ref="AC6:AC20" si="4">R6+T6+V6+X6+Z6</f>
        <v>470</v>
      </c>
      <c r="AD6">
        <f t="shared" ref="AD6:AD20" si="5">S6+U6+W6+Y6+AA6</f>
        <v>870</v>
      </c>
      <c r="AE6">
        <f t="shared" ref="AE6:AE20" si="6">AC6/AD6*100</f>
        <v>54.022988505747129</v>
      </c>
      <c r="AH6" s="5" t="s">
        <v>38</v>
      </c>
      <c r="AI6">
        <v>532</v>
      </c>
      <c r="AJ6">
        <v>870</v>
      </c>
      <c r="AK6">
        <v>61.149425287356316</v>
      </c>
      <c r="AL6" s="10">
        <f t="shared" si="0"/>
        <v>12.865794613402478</v>
      </c>
      <c r="AM6">
        <v>470</v>
      </c>
      <c r="AN6">
        <v>870</v>
      </c>
      <c r="AO6">
        <v>54.022988505747129</v>
      </c>
      <c r="AP6" s="10">
        <f t="shared" ref="AP6:AP20" si="7">AZ5-AO6</f>
        <v>2.7436305645368648</v>
      </c>
      <c r="AY6">
        <v>51.991115341900681</v>
      </c>
      <c r="AZ6">
        <v>42.297318737109315</v>
      </c>
    </row>
    <row r="7" spans="1:52" ht="19" x14ac:dyDescent="0.25">
      <c r="A7" t="s">
        <v>6</v>
      </c>
      <c r="B7" s="1">
        <v>190</v>
      </c>
      <c r="C7" s="1">
        <v>447</v>
      </c>
      <c r="D7" s="1">
        <v>55</v>
      </c>
      <c r="E7" s="1">
        <v>87</v>
      </c>
      <c r="F7" s="1">
        <v>29</v>
      </c>
      <c r="G7" s="1">
        <v>60</v>
      </c>
      <c r="H7" s="1">
        <v>57</v>
      </c>
      <c r="I7" s="1">
        <v>108</v>
      </c>
      <c r="J7" s="1">
        <v>90</v>
      </c>
      <c r="K7" s="1">
        <v>168</v>
      </c>
      <c r="M7">
        <f t="shared" si="1"/>
        <v>421</v>
      </c>
      <c r="N7">
        <f t="shared" si="2"/>
        <v>870</v>
      </c>
      <c r="O7">
        <f t="shared" si="3"/>
        <v>48.390804597701148</v>
      </c>
      <c r="Q7" t="s">
        <v>6</v>
      </c>
      <c r="R7" s="1">
        <v>160</v>
      </c>
      <c r="S7" s="1">
        <v>447</v>
      </c>
      <c r="T7" s="1">
        <v>53</v>
      </c>
      <c r="U7" s="1">
        <v>87</v>
      </c>
      <c r="V7" s="1">
        <v>25</v>
      </c>
      <c r="W7" s="1">
        <v>60</v>
      </c>
      <c r="X7" s="1">
        <v>53</v>
      </c>
      <c r="Y7" s="1">
        <v>108</v>
      </c>
      <c r="Z7" s="1">
        <v>74</v>
      </c>
      <c r="AA7" s="1">
        <v>168</v>
      </c>
      <c r="AC7">
        <f t="shared" si="4"/>
        <v>365</v>
      </c>
      <c r="AD7">
        <f t="shared" si="5"/>
        <v>870</v>
      </c>
      <c r="AE7">
        <f t="shared" si="6"/>
        <v>41.954022988505749</v>
      </c>
      <c r="AH7" s="5" t="s">
        <v>39</v>
      </c>
      <c r="AI7">
        <v>421</v>
      </c>
      <c r="AJ7">
        <v>870</v>
      </c>
      <c r="AK7">
        <v>48.390804597701099</v>
      </c>
      <c r="AL7" s="10">
        <f t="shared" si="0"/>
        <v>10.037092353394932</v>
      </c>
      <c r="AM7">
        <v>365</v>
      </c>
      <c r="AN7">
        <v>870</v>
      </c>
      <c r="AO7">
        <v>41.954022988505749</v>
      </c>
      <c r="AP7" s="10">
        <f t="shared" si="7"/>
        <v>0.34329574860356615</v>
      </c>
      <c r="AY7">
        <v>40.01269236871331</v>
      </c>
      <c r="AZ7">
        <v>29.990479212948269</v>
      </c>
    </row>
    <row r="8" spans="1:52" ht="19" x14ac:dyDescent="0.25">
      <c r="A8" t="s">
        <v>11</v>
      </c>
      <c r="B8" s="1">
        <v>167</v>
      </c>
      <c r="C8" s="1">
        <v>447</v>
      </c>
      <c r="D8" s="1">
        <v>40</v>
      </c>
      <c r="E8" s="1">
        <v>87</v>
      </c>
      <c r="F8" s="1">
        <v>11</v>
      </c>
      <c r="G8" s="1">
        <v>60</v>
      </c>
      <c r="H8" s="1">
        <v>42</v>
      </c>
      <c r="I8" s="1">
        <v>108</v>
      </c>
      <c r="J8" s="1">
        <v>62</v>
      </c>
      <c r="K8" s="1">
        <v>168</v>
      </c>
      <c r="M8">
        <f t="shared" si="1"/>
        <v>322</v>
      </c>
      <c r="N8">
        <f t="shared" si="2"/>
        <v>870</v>
      </c>
      <c r="O8">
        <f t="shared" si="3"/>
        <v>37.011494252873561</v>
      </c>
      <c r="Q8" t="s">
        <v>11</v>
      </c>
      <c r="R8" s="1">
        <v>122</v>
      </c>
      <c r="S8" s="1">
        <v>447</v>
      </c>
      <c r="T8" s="1">
        <v>36</v>
      </c>
      <c r="U8" s="1">
        <v>87</v>
      </c>
      <c r="V8" s="1">
        <v>9</v>
      </c>
      <c r="W8" s="1">
        <v>60</v>
      </c>
      <c r="X8" s="1">
        <v>29</v>
      </c>
      <c r="Y8" s="1">
        <v>108</v>
      </c>
      <c r="Z8" s="1">
        <v>57</v>
      </c>
      <c r="AA8" s="1">
        <v>168</v>
      </c>
      <c r="AC8">
        <f t="shared" si="4"/>
        <v>253</v>
      </c>
      <c r="AD8">
        <f t="shared" si="5"/>
        <v>870</v>
      </c>
      <c r="AE8">
        <f t="shared" si="6"/>
        <v>29.080459770114942</v>
      </c>
      <c r="AH8" s="5" t="s">
        <v>40</v>
      </c>
      <c r="AI8">
        <v>322</v>
      </c>
      <c r="AJ8">
        <v>870</v>
      </c>
      <c r="AK8">
        <v>37.011494252873561</v>
      </c>
      <c r="AL8" s="10">
        <f t="shared" si="0"/>
        <v>10.932232598598368</v>
      </c>
      <c r="AM8">
        <v>253</v>
      </c>
      <c r="AN8">
        <v>870</v>
      </c>
      <c r="AO8">
        <v>29.080459770114942</v>
      </c>
      <c r="AP8" s="10">
        <f t="shared" si="7"/>
        <v>0.91001944283332747</v>
      </c>
      <c r="AY8">
        <v>70.141202601935575</v>
      </c>
      <c r="AZ8">
        <v>61.669046485800415</v>
      </c>
    </row>
    <row r="9" spans="1:52" ht="19" x14ac:dyDescent="0.25">
      <c r="A9" t="s">
        <v>2</v>
      </c>
      <c r="B9" s="1">
        <v>297</v>
      </c>
      <c r="C9" s="1">
        <v>447</v>
      </c>
      <c r="D9" s="1">
        <v>73</v>
      </c>
      <c r="E9" s="1">
        <v>87</v>
      </c>
      <c r="F9" s="1">
        <v>33</v>
      </c>
      <c r="G9" s="1">
        <v>60</v>
      </c>
      <c r="H9" s="1">
        <v>79</v>
      </c>
      <c r="I9" s="1">
        <v>108</v>
      </c>
      <c r="J9" s="1">
        <v>116</v>
      </c>
      <c r="K9" s="1">
        <v>168</v>
      </c>
      <c r="M9">
        <f t="shared" si="1"/>
        <v>598</v>
      </c>
      <c r="N9">
        <f t="shared" si="2"/>
        <v>870</v>
      </c>
      <c r="O9">
        <f t="shared" si="3"/>
        <v>68.735632183908052</v>
      </c>
      <c r="Q9" t="s">
        <v>2</v>
      </c>
      <c r="R9" s="1">
        <v>267</v>
      </c>
      <c r="S9" s="1">
        <v>447</v>
      </c>
      <c r="T9" s="1">
        <v>62</v>
      </c>
      <c r="U9" s="1">
        <v>87</v>
      </c>
      <c r="V9" s="1">
        <v>30</v>
      </c>
      <c r="W9" s="1">
        <v>60</v>
      </c>
      <c r="X9" s="1">
        <v>70</v>
      </c>
      <c r="Y9" s="1">
        <v>108</v>
      </c>
      <c r="Z9" s="1">
        <v>110</v>
      </c>
      <c r="AA9" s="1">
        <v>168</v>
      </c>
      <c r="AC9">
        <f t="shared" si="4"/>
        <v>539</v>
      </c>
      <c r="AD9">
        <f t="shared" si="5"/>
        <v>870</v>
      </c>
      <c r="AE9">
        <f t="shared" si="6"/>
        <v>61.954022988505756</v>
      </c>
      <c r="AH9" s="5" t="s">
        <v>41</v>
      </c>
      <c r="AI9">
        <v>567</v>
      </c>
      <c r="AJ9">
        <v>870</v>
      </c>
      <c r="AK9">
        <v>65.172413793103445</v>
      </c>
      <c r="AL9" s="10">
        <f t="shared" si="0"/>
        <v>12.669938234119485</v>
      </c>
      <c r="AM9">
        <v>500</v>
      </c>
      <c r="AN9">
        <v>870</v>
      </c>
      <c r="AO9">
        <v>57.47126436781609</v>
      </c>
      <c r="AP9" s="10">
        <f t="shared" si="7"/>
        <v>4.1977821179843247</v>
      </c>
      <c r="AY9">
        <v>66.428684753292075</v>
      </c>
      <c r="AZ9">
        <v>53.863239727114077</v>
      </c>
    </row>
    <row r="10" spans="1:52" ht="19" x14ac:dyDescent="0.25">
      <c r="A10" t="s">
        <v>7</v>
      </c>
      <c r="B10" s="1">
        <v>292</v>
      </c>
      <c r="C10" s="1">
        <v>447</v>
      </c>
      <c r="D10" s="1">
        <v>70</v>
      </c>
      <c r="E10" s="1">
        <v>87</v>
      </c>
      <c r="F10" s="1">
        <v>38</v>
      </c>
      <c r="G10" s="1">
        <v>60</v>
      </c>
      <c r="H10" s="1">
        <v>83</v>
      </c>
      <c r="I10" s="1">
        <v>108</v>
      </c>
      <c r="J10" s="1">
        <v>114</v>
      </c>
      <c r="K10" s="1">
        <v>168</v>
      </c>
      <c r="M10">
        <f t="shared" si="1"/>
        <v>597</v>
      </c>
      <c r="N10">
        <f t="shared" si="2"/>
        <v>870</v>
      </c>
      <c r="O10">
        <f t="shared" si="3"/>
        <v>68.620689655172413</v>
      </c>
      <c r="Q10" t="s">
        <v>7</v>
      </c>
      <c r="R10" s="1">
        <v>255</v>
      </c>
      <c r="S10" s="1">
        <v>447</v>
      </c>
      <c r="T10" s="1">
        <v>63</v>
      </c>
      <c r="U10" s="1">
        <v>87</v>
      </c>
      <c r="V10" s="1">
        <v>30</v>
      </c>
      <c r="W10" s="1">
        <v>60</v>
      </c>
      <c r="X10" s="1">
        <v>73</v>
      </c>
      <c r="Y10" s="1">
        <v>108</v>
      </c>
      <c r="Z10" s="1">
        <v>107</v>
      </c>
      <c r="AA10" s="1">
        <v>168</v>
      </c>
      <c r="AC10">
        <f t="shared" si="4"/>
        <v>528</v>
      </c>
      <c r="AD10">
        <f t="shared" si="5"/>
        <v>870</v>
      </c>
      <c r="AE10">
        <f t="shared" si="6"/>
        <v>60.689655172413794</v>
      </c>
      <c r="AH10" s="5" t="s">
        <v>42</v>
      </c>
      <c r="AI10">
        <v>539</v>
      </c>
      <c r="AJ10">
        <v>870</v>
      </c>
      <c r="AK10">
        <v>61.954022988505756</v>
      </c>
      <c r="AL10" s="10">
        <f t="shared" si="0"/>
        <v>13.78500659237254</v>
      </c>
      <c r="AM10">
        <v>458</v>
      </c>
      <c r="AN10">
        <v>870</v>
      </c>
      <c r="AO10">
        <v>52.643678160919535</v>
      </c>
      <c r="AP10" s="10">
        <f t="shared" si="7"/>
        <v>1.2195615661945425</v>
      </c>
      <c r="AY10">
        <v>61.208948119942889</v>
      </c>
      <c r="AZ10">
        <v>43.97905759162304</v>
      </c>
    </row>
    <row r="11" spans="1:52" ht="19" x14ac:dyDescent="0.25">
      <c r="A11" t="s">
        <v>12</v>
      </c>
      <c r="B11" s="1">
        <v>277</v>
      </c>
      <c r="C11" s="1">
        <v>447</v>
      </c>
      <c r="D11" s="1">
        <v>72</v>
      </c>
      <c r="E11" s="1">
        <v>87</v>
      </c>
      <c r="F11" s="1">
        <v>38</v>
      </c>
      <c r="G11" s="1">
        <v>60</v>
      </c>
      <c r="H11" s="1">
        <v>85</v>
      </c>
      <c r="I11" s="1">
        <v>108</v>
      </c>
      <c r="J11" s="1">
        <v>115</v>
      </c>
      <c r="K11" s="1">
        <v>168</v>
      </c>
      <c r="M11">
        <f t="shared" si="1"/>
        <v>587</v>
      </c>
      <c r="N11">
        <f t="shared" si="2"/>
        <v>870</v>
      </c>
      <c r="O11">
        <f t="shared" si="3"/>
        <v>67.471264367816104</v>
      </c>
      <c r="Q11" t="s">
        <v>12</v>
      </c>
      <c r="R11" s="1">
        <v>268</v>
      </c>
      <c r="S11" s="1">
        <v>447</v>
      </c>
      <c r="T11" s="1">
        <v>63</v>
      </c>
      <c r="U11" s="1">
        <v>87</v>
      </c>
      <c r="V11" s="1">
        <v>30</v>
      </c>
      <c r="W11" s="1">
        <v>60</v>
      </c>
      <c r="X11" s="1">
        <v>70</v>
      </c>
      <c r="Y11" s="1">
        <v>108</v>
      </c>
      <c r="Z11" s="1">
        <v>110</v>
      </c>
      <c r="AA11" s="1">
        <v>168</v>
      </c>
      <c r="AC11">
        <f t="shared" si="4"/>
        <v>541</v>
      </c>
      <c r="AD11">
        <f t="shared" si="5"/>
        <v>870</v>
      </c>
      <c r="AE11">
        <f t="shared" si="6"/>
        <v>62.183908045977013</v>
      </c>
      <c r="AH11" s="5" t="s">
        <v>43</v>
      </c>
      <c r="AI11">
        <v>492</v>
      </c>
      <c r="AJ11">
        <v>870</v>
      </c>
      <c r="AK11">
        <v>56.551724137931039</v>
      </c>
      <c r="AL11" s="10">
        <f t="shared" si="0"/>
        <v>14.887109039483121</v>
      </c>
      <c r="AM11">
        <v>403</v>
      </c>
      <c r="AN11">
        <v>870</v>
      </c>
      <c r="AO11">
        <v>46.321839080459768</v>
      </c>
      <c r="AP11" s="11">
        <f t="shared" si="7"/>
        <v>-2.342781488836728</v>
      </c>
      <c r="AY11">
        <v>70.871013802950984</v>
      </c>
      <c r="AZ11">
        <v>63.525305410122165</v>
      </c>
    </row>
    <row r="12" spans="1:52" ht="19" x14ac:dyDescent="0.25">
      <c r="A12" t="s">
        <v>3</v>
      </c>
      <c r="B12" s="1">
        <v>276</v>
      </c>
      <c r="C12" s="1">
        <v>447</v>
      </c>
      <c r="D12" s="1">
        <v>78</v>
      </c>
      <c r="E12" s="1">
        <v>87</v>
      </c>
      <c r="F12" s="1">
        <v>43</v>
      </c>
      <c r="G12" s="1">
        <v>60</v>
      </c>
      <c r="H12" s="1">
        <v>72</v>
      </c>
      <c r="I12" s="1">
        <v>108</v>
      </c>
      <c r="J12" s="1">
        <v>106</v>
      </c>
      <c r="K12" s="1">
        <v>168</v>
      </c>
      <c r="M12">
        <f t="shared" si="1"/>
        <v>575</v>
      </c>
      <c r="N12">
        <f t="shared" si="2"/>
        <v>870</v>
      </c>
      <c r="O12">
        <f t="shared" si="3"/>
        <v>66.091954022988503</v>
      </c>
      <c r="Q12" t="s">
        <v>3</v>
      </c>
      <c r="R12" s="1">
        <v>241</v>
      </c>
      <c r="S12" s="1">
        <v>447</v>
      </c>
      <c r="T12" s="1">
        <v>65</v>
      </c>
      <c r="U12" s="1">
        <v>87</v>
      </c>
      <c r="V12" s="1">
        <v>30</v>
      </c>
      <c r="W12" s="1">
        <v>60</v>
      </c>
      <c r="X12" s="1">
        <v>65</v>
      </c>
      <c r="Y12" s="1">
        <v>108</v>
      </c>
      <c r="Z12" s="1">
        <v>109</v>
      </c>
      <c r="AA12" s="1">
        <v>168</v>
      </c>
      <c r="AC12">
        <f t="shared" si="4"/>
        <v>510</v>
      </c>
      <c r="AD12">
        <f t="shared" si="5"/>
        <v>870</v>
      </c>
      <c r="AE12">
        <f t="shared" si="6"/>
        <v>58.620689655172406</v>
      </c>
      <c r="AH12" s="5" t="s">
        <v>44</v>
      </c>
      <c r="AI12">
        <v>575</v>
      </c>
      <c r="AJ12">
        <v>870</v>
      </c>
      <c r="AK12">
        <v>66.091954022988503</v>
      </c>
      <c r="AL12" s="10">
        <f t="shared" si="0"/>
        <v>12.250324147778578</v>
      </c>
      <c r="AM12">
        <v>510</v>
      </c>
      <c r="AN12">
        <v>870</v>
      </c>
      <c r="AO12">
        <v>58.620689655172406</v>
      </c>
      <c r="AP12" s="10">
        <f t="shared" si="7"/>
        <v>4.9046157549497593</v>
      </c>
      <c r="AY12">
        <v>67.586863398381723</v>
      </c>
      <c r="AZ12">
        <v>61.145486276376324</v>
      </c>
    </row>
    <row r="13" spans="1:52" ht="19" x14ac:dyDescent="0.25">
      <c r="A13" t="s">
        <v>8</v>
      </c>
      <c r="B13" s="1">
        <v>265</v>
      </c>
      <c r="C13" s="1">
        <v>447</v>
      </c>
      <c r="D13" s="1">
        <v>72</v>
      </c>
      <c r="E13" s="1">
        <v>87</v>
      </c>
      <c r="F13" s="1">
        <v>32</v>
      </c>
      <c r="G13" s="1">
        <v>60</v>
      </c>
      <c r="H13" s="1">
        <v>70</v>
      </c>
      <c r="I13" s="1">
        <v>108</v>
      </c>
      <c r="J13" s="1">
        <v>94</v>
      </c>
      <c r="K13" s="1">
        <v>168</v>
      </c>
      <c r="M13">
        <f t="shared" si="1"/>
        <v>533</v>
      </c>
      <c r="N13">
        <f t="shared" si="2"/>
        <v>870</v>
      </c>
      <c r="O13">
        <f t="shared" si="3"/>
        <v>61.264367816091955</v>
      </c>
      <c r="Q13" t="s">
        <v>8</v>
      </c>
      <c r="R13" s="1">
        <v>240</v>
      </c>
      <c r="S13" s="1">
        <v>447</v>
      </c>
      <c r="T13" s="1">
        <v>62</v>
      </c>
      <c r="U13" s="1">
        <v>87</v>
      </c>
      <c r="V13" s="1">
        <v>29</v>
      </c>
      <c r="W13" s="1">
        <v>60</v>
      </c>
      <c r="X13" s="1">
        <v>66</v>
      </c>
      <c r="Y13" s="1">
        <v>108</v>
      </c>
      <c r="Z13" s="1">
        <v>103</v>
      </c>
      <c r="AA13" s="1">
        <v>168</v>
      </c>
      <c r="AC13">
        <f t="shared" si="4"/>
        <v>500</v>
      </c>
      <c r="AD13">
        <f t="shared" si="5"/>
        <v>870</v>
      </c>
      <c r="AE13">
        <f t="shared" si="6"/>
        <v>57.47126436781609</v>
      </c>
      <c r="AH13" s="5" t="s">
        <v>45</v>
      </c>
      <c r="AI13">
        <v>533</v>
      </c>
      <c r="AJ13">
        <v>870</v>
      </c>
      <c r="AK13">
        <v>61.264367816091955</v>
      </c>
      <c r="AL13" s="10">
        <f t="shared" si="0"/>
        <v>10.115599030565633</v>
      </c>
      <c r="AM13">
        <v>500</v>
      </c>
      <c r="AN13">
        <v>870</v>
      </c>
      <c r="AO13">
        <v>57.47126436781609</v>
      </c>
      <c r="AP13" s="10">
        <f t="shared" si="7"/>
        <v>3.6742219085602343</v>
      </c>
      <c r="AY13">
        <v>65.825797239409795</v>
      </c>
      <c r="AZ13">
        <v>59.685863874345543</v>
      </c>
    </row>
    <row r="14" spans="1:52" ht="19" x14ac:dyDescent="0.25">
      <c r="A14" t="s">
        <v>13</v>
      </c>
      <c r="B14" s="1">
        <v>272</v>
      </c>
      <c r="C14" s="1">
        <v>447</v>
      </c>
      <c r="D14" s="1">
        <v>77</v>
      </c>
      <c r="E14" s="1">
        <v>87</v>
      </c>
      <c r="F14" s="1">
        <v>30</v>
      </c>
      <c r="G14" s="1">
        <v>60</v>
      </c>
      <c r="H14" s="1">
        <v>67</v>
      </c>
      <c r="I14" s="1">
        <v>108</v>
      </c>
      <c r="J14" s="1">
        <v>104</v>
      </c>
      <c r="K14" s="1">
        <v>168</v>
      </c>
      <c r="M14">
        <f t="shared" si="1"/>
        <v>550</v>
      </c>
      <c r="N14">
        <f t="shared" si="2"/>
        <v>870</v>
      </c>
      <c r="O14">
        <f t="shared" si="3"/>
        <v>63.218390804597703</v>
      </c>
      <c r="Q14" t="s">
        <v>13</v>
      </c>
      <c r="R14" s="1">
        <v>234</v>
      </c>
      <c r="S14" s="1">
        <v>447</v>
      </c>
      <c r="T14" s="1">
        <v>61</v>
      </c>
      <c r="U14" s="1">
        <v>87</v>
      </c>
      <c r="V14" s="1">
        <v>29</v>
      </c>
      <c r="W14" s="1">
        <v>60</v>
      </c>
      <c r="X14" s="1">
        <v>57</v>
      </c>
      <c r="Y14" s="1">
        <v>108</v>
      </c>
      <c r="Z14" s="1">
        <v>109</v>
      </c>
      <c r="AA14" s="1">
        <v>168</v>
      </c>
      <c r="AC14">
        <f t="shared" si="4"/>
        <v>490</v>
      </c>
      <c r="AD14">
        <f t="shared" si="5"/>
        <v>870</v>
      </c>
      <c r="AE14">
        <f t="shared" si="6"/>
        <v>56.321839080459768</v>
      </c>
      <c r="AH14" s="5" t="s">
        <v>46</v>
      </c>
      <c r="AI14">
        <v>550</v>
      </c>
      <c r="AJ14">
        <v>870</v>
      </c>
      <c r="AK14">
        <v>63.218390804597703</v>
      </c>
      <c r="AL14" s="10">
        <f t="shared" si="0"/>
        <v>9.5039581589500273</v>
      </c>
      <c r="AM14">
        <v>490</v>
      </c>
      <c r="AN14">
        <v>870</v>
      </c>
      <c r="AO14">
        <v>56.321839080459768</v>
      </c>
      <c r="AP14" s="10">
        <f t="shared" si="7"/>
        <v>3.3640247938857755</v>
      </c>
      <c r="AY14">
        <v>74.297953355544976</v>
      </c>
      <c r="AZ14">
        <v>65.191178803744251</v>
      </c>
    </row>
    <row r="15" spans="1:52" ht="19" x14ac:dyDescent="0.25">
      <c r="A15" t="s">
        <v>4</v>
      </c>
      <c r="B15" s="1">
        <v>279</v>
      </c>
      <c r="C15" s="1">
        <v>447</v>
      </c>
      <c r="D15" s="1">
        <v>78</v>
      </c>
      <c r="E15" s="1">
        <v>87</v>
      </c>
      <c r="F15" s="1">
        <v>29</v>
      </c>
      <c r="G15" s="1">
        <v>60</v>
      </c>
      <c r="H15" s="1">
        <v>79</v>
      </c>
      <c r="I15" s="1">
        <v>108</v>
      </c>
      <c r="J15" s="1">
        <v>102</v>
      </c>
      <c r="K15" s="1">
        <v>168</v>
      </c>
      <c r="M15">
        <f t="shared" si="1"/>
        <v>567</v>
      </c>
      <c r="N15">
        <f t="shared" si="2"/>
        <v>870</v>
      </c>
      <c r="O15">
        <f t="shared" si="3"/>
        <v>65.172413793103445</v>
      </c>
      <c r="Q15" t="s">
        <v>4</v>
      </c>
      <c r="R15" s="1">
        <v>261</v>
      </c>
      <c r="S15" s="1">
        <v>447</v>
      </c>
      <c r="T15" s="1">
        <v>62</v>
      </c>
      <c r="U15" s="1">
        <v>87</v>
      </c>
      <c r="V15" s="1">
        <v>28</v>
      </c>
      <c r="W15" s="1">
        <v>60</v>
      </c>
      <c r="X15" s="1">
        <v>47</v>
      </c>
      <c r="Y15" s="1">
        <v>108</v>
      </c>
      <c r="Z15" s="1">
        <v>102</v>
      </c>
      <c r="AA15" s="1">
        <v>168</v>
      </c>
      <c r="AC15">
        <f>R15+T15+V15+X15+Z15</f>
        <v>500</v>
      </c>
      <c r="AD15">
        <f t="shared" si="5"/>
        <v>870</v>
      </c>
      <c r="AE15">
        <f t="shared" si="6"/>
        <v>57.47126436781609</v>
      </c>
      <c r="AH15" s="5" t="s">
        <v>47</v>
      </c>
      <c r="AI15">
        <v>598</v>
      </c>
      <c r="AJ15">
        <v>870</v>
      </c>
      <c r="AK15">
        <v>68.735632183908052</v>
      </c>
      <c r="AL15" s="10">
        <f t="shared" si="0"/>
        <v>12.343930367039221</v>
      </c>
      <c r="AM15">
        <v>539</v>
      </c>
      <c r="AN15">
        <v>870</v>
      </c>
      <c r="AO15">
        <v>61.954022988505756</v>
      </c>
      <c r="AP15" s="10">
        <f t="shared" si="7"/>
        <v>3.2371558152384949</v>
      </c>
      <c r="AY15">
        <v>73.441218467396467</v>
      </c>
      <c r="AZ15">
        <v>64.06473108043788</v>
      </c>
    </row>
    <row r="16" spans="1:52" ht="19" x14ac:dyDescent="0.25">
      <c r="A16" t="s">
        <v>9</v>
      </c>
      <c r="B16" s="1">
        <v>277</v>
      </c>
      <c r="C16" s="1">
        <v>447</v>
      </c>
      <c r="D16" s="1">
        <v>69</v>
      </c>
      <c r="E16" s="1">
        <v>87</v>
      </c>
      <c r="F16" s="1">
        <v>28</v>
      </c>
      <c r="G16" s="1">
        <v>60</v>
      </c>
      <c r="H16" s="1">
        <v>67</v>
      </c>
      <c r="I16" s="1">
        <v>108</v>
      </c>
      <c r="J16" s="1">
        <v>98</v>
      </c>
      <c r="K16" s="1">
        <v>168</v>
      </c>
      <c r="M16">
        <f t="shared" si="1"/>
        <v>539</v>
      </c>
      <c r="N16">
        <f t="shared" si="2"/>
        <v>870</v>
      </c>
      <c r="O16">
        <f t="shared" si="3"/>
        <v>61.954022988505756</v>
      </c>
      <c r="Q16" t="s">
        <v>9</v>
      </c>
      <c r="R16" s="1">
        <v>230</v>
      </c>
      <c r="S16" s="1">
        <v>447</v>
      </c>
      <c r="T16" s="1">
        <v>57</v>
      </c>
      <c r="U16" s="1">
        <v>87</v>
      </c>
      <c r="V16" s="1">
        <v>29</v>
      </c>
      <c r="W16" s="1">
        <v>60</v>
      </c>
      <c r="X16" s="1">
        <v>57</v>
      </c>
      <c r="Y16" s="1">
        <v>108</v>
      </c>
      <c r="Z16" s="1">
        <v>85</v>
      </c>
      <c r="AA16" s="1">
        <v>168</v>
      </c>
      <c r="AC16">
        <f t="shared" si="4"/>
        <v>458</v>
      </c>
      <c r="AD16">
        <f t="shared" si="5"/>
        <v>870</v>
      </c>
      <c r="AE16">
        <f t="shared" si="6"/>
        <v>52.643678160919535</v>
      </c>
      <c r="AH16" s="5" t="s">
        <v>48</v>
      </c>
      <c r="AI16">
        <v>597</v>
      </c>
      <c r="AJ16">
        <v>870</v>
      </c>
      <c r="AK16">
        <v>68.620689655172413</v>
      </c>
      <c r="AL16" s="10">
        <f t="shared" si="0"/>
        <v>12.751563294982674</v>
      </c>
      <c r="AM16">
        <v>528</v>
      </c>
      <c r="AN16">
        <v>870</v>
      </c>
      <c r="AO16">
        <v>60.689655172413794</v>
      </c>
      <c r="AP16" s="10">
        <f t="shared" si="7"/>
        <v>3.3750759080240869</v>
      </c>
      <c r="AY16">
        <v>73.298429319371721</v>
      </c>
      <c r="AZ16">
        <v>64.191654767570995</v>
      </c>
    </row>
    <row r="17" spans="1:52" ht="19" x14ac:dyDescent="0.25">
      <c r="A17" t="s">
        <v>14</v>
      </c>
      <c r="B17" s="1">
        <v>239</v>
      </c>
      <c r="C17" s="1">
        <v>447</v>
      </c>
      <c r="D17" s="1">
        <v>71</v>
      </c>
      <c r="E17" s="1">
        <v>87</v>
      </c>
      <c r="F17" s="1">
        <v>31</v>
      </c>
      <c r="G17" s="1">
        <v>60</v>
      </c>
      <c r="H17" s="1">
        <v>66</v>
      </c>
      <c r="I17" s="1">
        <v>108</v>
      </c>
      <c r="J17" s="1">
        <v>85</v>
      </c>
      <c r="K17" s="1">
        <v>168</v>
      </c>
      <c r="M17">
        <f t="shared" si="1"/>
        <v>492</v>
      </c>
      <c r="N17">
        <f t="shared" si="2"/>
        <v>870</v>
      </c>
      <c r="O17">
        <f t="shared" si="3"/>
        <v>56.551724137931039</v>
      </c>
      <c r="Q17" t="s">
        <v>14</v>
      </c>
      <c r="R17" s="1">
        <v>191</v>
      </c>
      <c r="S17" s="1">
        <v>447</v>
      </c>
      <c r="T17" s="1">
        <v>56</v>
      </c>
      <c r="U17" s="1">
        <v>87</v>
      </c>
      <c r="V17" s="1">
        <v>24</v>
      </c>
      <c r="W17" s="1">
        <v>60</v>
      </c>
      <c r="X17" s="1">
        <v>61</v>
      </c>
      <c r="Y17" s="1">
        <v>108</v>
      </c>
      <c r="Z17" s="1">
        <v>71</v>
      </c>
      <c r="AA17" s="1">
        <v>168</v>
      </c>
      <c r="AC17">
        <f t="shared" si="4"/>
        <v>403</v>
      </c>
      <c r="AD17">
        <f t="shared" si="5"/>
        <v>870</v>
      </c>
      <c r="AE17">
        <f t="shared" si="6"/>
        <v>46.321839080459768</v>
      </c>
      <c r="AH17" s="5" t="s">
        <v>49</v>
      </c>
      <c r="AI17">
        <v>587</v>
      </c>
      <c r="AJ17">
        <v>870</v>
      </c>
      <c r="AK17">
        <v>67.471264367816104</v>
      </c>
      <c r="AL17" s="10">
        <f t="shared" si="0"/>
        <v>11.114521273394708</v>
      </c>
      <c r="AM17">
        <v>541</v>
      </c>
      <c r="AN17">
        <v>870</v>
      </c>
      <c r="AO17">
        <v>62.183908045977013</v>
      </c>
      <c r="AP17" s="10">
        <f t="shared" si="7"/>
        <v>2.0077467215939819</v>
      </c>
      <c r="AY17">
        <v>67.063303188957633</v>
      </c>
      <c r="AZ17">
        <v>59.257496430271296</v>
      </c>
    </row>
    <row r="18" spans="1:52" ht="19" x14ac:dyDescent="0.25">
      <c r="A18" t="s">
        <v>5</v>
      </c>
      <c r="B18" s="1">
        <v>273</v>
      </c>
      <c r="C18" s="1">
        <v>447</v>
      </c>
      <c r="D18" s="1">
        <v>75</v>
      </c>
      <c r="E18" s="1">
        <v>87</v>
      </c>
      <c r="F18" s="1">
        <v>32</v>
      </c>
      <c r="G18" s="1">
        <v>60</v>
      </c>
      <c r="H18" s="1">
        <v>69</v>
      </c>
      <c r="I18" s="1">
        <v>108</v>
      </c>
      <c r="J18" s="1">
        <v>103</v>
      </c>
      <c r="K18" s="1">
        <v>168</v>
      </c>
      <c r="M18">
        <f t="shared" si="1"/>
        <v>552</v>
      </c>
      <c r="N18">
        <f t="shared" si="2"/>
        <v>870</v>
      </c>
      <c r="O18">
        <f t="shared" si="3"/>
        <v>63.448275862068968</v>
      </c>
      <c r="Q18" t="s">
        <v>5</v>
      </c>
      <c r="R18" s="1">
        <v>264</v>
      </c>
      <c r="S18" s="1">
        <v>447</v>
      </c>
      <c r="T18" s="1">
        <v>66</v>
      </c>
      <c r="U18" s="1">
        <v>87</v>
      </c>
      <c r="V18" s="1">
        <v>26</v>
      </c>
      <c r="W18" s="1">
        <v>60</v>
      </c>
      <c r="X18" s="1">
        <v>37</v>
      </c>
      <c r="Y18" s="1">
        <v>108</v>
      </c>
      <c r="Z18" s="1">
        <v>111</v>
      </c>
      <c r="AA18" s="1">
        <v>168</v>
      </c>
      <c r="AC18">
        <f t="shared" si="4"/>
        <v>504</v>
      </c>
      <c r="AD18">
        <f t="shared" si="5"/>
        <v>870</v>
      </c>
      <c r="AE18">
        <f t="shared" si="6"/>
        <v>57.931034482758626</v>
      </c>
      <c r="AH18" s="5" t="s">
        <v>50</v>
      </c>
      <c r="AI18">
        <v>552</v>
      </c>
      <c r="AJ18">
        <v>870</v>
      </c>
      <c r="AK18">
        <v>63.448275862068968</v>
      </c>
      <c r="AL18" s="10">
        <f t="shared" si="0"/>
        <v>9.1322687061990067</v>
      </c>
      <c r="AM18">
        <v>504</v>
      </c>
      <c r="AN18">
        <v>870</v>
      </c>
      <c r="AO18">
        <v>57.931034482758626</v>
      </c>
      <c r="AP18" s="10">
        <f t="shared" si="7"/>
        <v>1.3264619475126693</v>
      </c>
      <c r="AY18">
        <v>60.685387910518799</v>
      </c>
      <c r="AZ18">
        <v>53.79977788354752</v>
      </c>
    </row>
    <row r="19" spans="1:52" ht="19" x14ac:dyDescent="0.25">
      <c r="A19" t="s">
        <v>10</v>
      </c>
      <c r="B19" s="1">
        <v>237</v>
      </c>
      <c r="C19" s="1">
        <v>447</v>
      </c>
      <c r="D19" s="1">
        <v>72</v>
      </c>
      <c r="E19" s="1">
        <v>87</v>
      </c>
      <c r="F19" s="1">
        <v>27</v>
      </c>
      <c r="G19" s="1">
        <v>60</v>
      </c>
      <c r="H19" s="1">
        <v>70</v>
      </c>
      <c r="I19" s="1">
        <v>108</v>
      </c>
      <c r="J19" s="1">
        <v>99</v>
      </c>
      <c r="K19" s="1">
        <v>168</v>
      </c>
      <c r="M19">
        <f t="shared" si="1"/>
        <v>505</v>
      </c>
      <c r="N19">
        <f t="shared" si="2"/>
        <v>870</v>
      </c>
      <c r="O19">
        <f t="shared" si="3"/>
        <v>58.045977011494251</v>
      </c>
      <c r="Q19" t="s">
        <v>10</v>
      </c>
      <c r="R19" s="1">
        <v>229</v>
      </c>
      <c r="S19" s="1">
        <v>447</v>
      </c>
      <c r="T19" s="1">
        <v>61</v>
      </c>
      <c r="U19" s="1">
        <v>87</v>
      </c>
      <c r="V19" s="1">
        <v>24</v>
      </c>
      <c r="W19" s="1">
        <v>60</v>
      </c>
      <c r="X19" s="1">
        <v>52</v>
      </c>
      <c r="Y19" s="1">
        <v>108</v>
      </c>
      <c r="Z19" s="1">
        <v>106</v>
      </c>
      <c r="AA19" s="1">
        <v>168</v>
      </c>
      <c r="AC19">
        <f t="shared" si="4"/>
        <v>472</v>
      </c>
      <c r="AD19">
        <f t="shared" si="5"/>
        <v>870</v>
      </c>
      <c r="AE19">
        <f t="shared" si="6"/>
        <v>54.252873563218394</v>
      </c>
      <c r="AH19" s="5" t="s">
        <v>53</v>
      </c>
      <c r="AI19">
        <v>505</v>
      </c>
      <c r="AJ19">
        <v>870</v>
      </c>
      <c r="AK19">
        <v>58.045977011494251</v>
      </c>
      <c r="AL19" s="10">
        <f t="shared" si="0"/>
        <v>6.4325143473004047</v>
      </c>
      <c r="AM19">
        <v>472</v>
      </c>
      <c r="AN19">
        <v>870</v>
      </c>
      <c r="AO19">
        <v>54.252873563218394</v>
      </c>
      <c r="AP19" s="11">
        <f t="shared" si="7"/>
        <v>-0.45309567967087361</v>
      </c>
      <c r="AY19">
        <v>53.371410439473266</v>
      </c>
      <c r="AZ19">
        <v>48.389655719498656</v>
      </c>
    </row>
    <row r="20" spans="1:52" ht="19" x14ac:dyDescent="0.25">
      <c r="A20" t="s">
        <v>15</v>
      </c>
      <c r="B20" s="1">
        <v>222</v>
      </c>
      <c r="C20" s="1">
        <v>447</v>
      </c>
      <c r="D20" s="1">
        <v>73</v>
      </c>
      <c r="E20" s="1">
        <v>87</v>
      </c>
      <c r="F20" s="1">
        <v>28</v>
      </c>
      <c r="G20" s="1">
        <v>60</v>
      </c>
      <c r="H20" s="1">
        <v>54</v>
      </c>
      <c r="I20" s="1">
        <v>108</v>
      </c>
      <c r="J20" s="1">
        <v>95</v>
      </c>
      <c r="K20" s="1">
        <v>168</v>
      </c>
      <c r="M20">
        <f t="shared" si="1"/>
        <v>472</v>
      </c>
      <c r="N20">
        <f t="shared" si="2"/>
        <v>870</v>
      </c>
      <c r="O20">
        <f t="shared" si="3"/>
        <v>54.252873563218394</v>
      </c>
      <c r="Q20" t="s">
        <v>15</v>
      </c>
      <c r="R20" s="1">
        <v>214</v>
      </c>
      <c r="S20" s="1">
        <v>447</v>
      </c>
      <c r="T20" s="1">
        <v>66</v>
      </c>
      <c r="U20" s="1">
        <v>87</v>
      </c>
      <c r="V20" s="1">
        <v>23</v>
      </c>
      <c r="W20" s="1">
        <v>60</v>
      </c>
      <c r="X20" s="1">
        <v>60</v>
      </c>
      <c r="Y20" s="1">
        <v>108</v>
      </c>
      <c r="Z20" s="1">
        <v>101</v>
      </c>
      <c r="AA20" s="1">
        <v>168</v>
      </c>
      <c r="AC20">
        <f t="shared" si="4"/>
        <v>464</v>
      </c>
      <c r="AD20">
        <f t="shared" si="5"/>
        <v>870</v>
      </c>
      <c r="AE20">
        <f t="shared" si="6"/>
        <v>53.333333333333336</v>
      </c>
      <c r="AH20" s="5" t="s">
        <v>54</v>
      </c>
      <c r="AI20">
        <v>472</v>
      </c>
      <c r="AJ20">
        <v>870</v>
      </c>
      <c r="AK20">
        <v>54.252873563218394</v>
      </c>
      <c r="AL20" s="10">
        <f t="shared" si="0"/>
        <v>3.8077106139930095E-2</v>
      </c>
      <c r="AM20">
        <v>464</v>
      </c>
      <c r="AN20">
        <v>870</v>
      </c>
      <c r="AO20">
        <v>53.333333333333336</v>
      </c>
      <c r="AP20" s="11">
        <f t="shared" si="7"/>
        <v>-4.9436776138346801</v>
      </c>
    </row>
    <row r="22" spans="1:52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4" spans="1:52" x14ac:dyDescent="0.2">
      <c r="A24" t="s">
        <v>29</v>
      </c>
    </row>
    <row r="25" spans="1:52" x14ac:dyDescent="0.2">
      <c r="A25" s="8" t="s">
        <v>19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Q25" s="8" t="s">
        <v>20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H25" s="6"/>
      <c r="AI25" s="6"/>
      <c r="AJ25" s="6"/>
      <c r="AK25" s="6"/>
      <c r="AL25" s="6"/>
      <c r="AM25" s="6"/>
      <c r="AN25" s="6"/>
      <c r="AO25" s="6"/>
      <c r="AP25" s="6"/>
    </row>
    <row r="26" spans="1:52" x14ac:dyDescent="0.2">
      <c r="A26" s="2"/>
      <c r="B26" s="9" t="s">
        <v>22</v>
      </c>
      <c r="C26" s="9"/>
      <c r="D26" s="9" t="s">
        <v>23</v>
      </c>
      <c r="E26" s="9"/>
      <c r="F26" s="9" t="s">
        <v>24</v>
      </c>
      <c r="G26" s="9"/>
      <c r="H26" s="9" t="s">
        <v>25</v>
      </c>
      <c r="I26" s="9"/>
      <c r="J26" s="9" t="s">
        <v>26</v>
      </c>
      <c r="K26" s="9"/>
      <c r="L26" s="2"/>
      <c r="M26" s="2"/>
      <c r="N26" s="2"/>
      <c r="O26" s="2"/>
      <c r="Q26" s="2"/>
      <c r="R26" s="9" t="s">
        <v>22</v>
      </c>
      <c r="S26" s="9"/>
      <c r="T26" s="9" t="s">
        <v>23</v>
      </c>
      <c r="U26" s="9"/>
      <c r="V26" s="9" t="s">
        <v>24</v>
      </c>
      <c r="W26" s="9"/>
      <c r="X26" s="9" t="s">
        <v>25</v>
      </c>
      <c r="Y26" s="9"/>
      <c r="Z26" s="9" t="s">
        <v>26</v>
      </c>
      <c r="AA26" s="9"/>
      <c r="AB26" s="2"/>
      <c r="AC26" s="2"/>
      <c r="AD26" s="2"/>
      <c r="AE26" s="2"/>
      <c r="AI26" s="8" t="s">
        <v>52</v>
      </c>
      <c r="AJ26" s="8"/>
      <c r="AK26" s="8"/>
      <c r="AL26" s="8"/>
      <c r="AM26" s="7" t="s">
        <v>20</v>
      </c>
      <c r="AN26" s="7"/>
      <c r="AO26" s="7"/>
      <c r="AP26" s="7"/>
    </row>
    <row r="27" spans="1:52" x14ac:dyDescent="0.2">
      <c r="B27" t="s">
        <v>16</v>
      </c>
      <c r="C27" t="s">
        <v>17</v>
      </c>
      <c r="D27" t="s">
        <v>16</v>
      </c>
      <c r="E27" t="s">
        <v>17</v>
      </c>
      <c r="F27" t="s">
        <v>16</v>
      </c>
      <c r="G27" t="s">
        <v>17</v>
      </c>
      <c r="H27" t="s">
        <v>16</v>
      </c>
      <c r="I27" t="s">
        <v>17</v>
      </c>
      <c r="J27" t="s">
        <v>16</v>
      </c>
      <c r="K27" t="s">
        <v>17</v>
      </c>
      <c r="M27" t="s">
        <v>16</v>
      </c>
      <c r="N27" t="s">
        <v>17</v>
      </c>
      <c r="O27" t="s">
        <v>18</v>
      </c>
      <c r="R27" t="s">
        <v>16</v>
      </c>
      <c r="S27" t="s">
        <v>17</v>
      </c>
      <c r="T27" t="s">
        <v>16</v>
      </c>
      <c r="U27" t="s">
        <v>17</v>
      </c>
      <c r="V27" t="s">
        <v>16</v>
      </c>
      <c r="W27" t="s">
        <v>17</v>
      </c>
      <c r="X27" t="s">
        <v>16</v>
      </c>
      <c r="Y27" t="s">
        <v>17</v>
      </c>
      <c r="Z27" t="s">
        <v>16</v>
      </c>
      <c r="AA27" t="s">
        <v>17</v>
      </c>
      <c r="AC27" t="s">
        <v>16</v>
      </c>
      <c r="AD27" t="s">
        <v>17</v>
      </c>
      <c r="AE27" t="s">
        <v>18</v>
      </c>
      <c r="AI27" t="s">
        <v>16</v>
      </c>
      <c r="AJ27" t="s">
        <v>17</v>
      </c>
      <c r="AK27" t="s">
        <v>18</v>
      </c>
      <c r="AL27" t="s">
        <v>60</v>
      </c>
      <c r="AM27" t="s">
        <v>16</v>
      </c>
      <c r="AN27" t="s">
        <v>17</v>
      </c>
      <c r="AO27" t="s">
        <v>18</v>
      </c>
      <c r="AP27" t="s">
        <v>60</v>
      </c>
    </row>
    <row r="28" spans="1:52" ht="19" x14ac:dyDescent="0.25">
      <c r="A28" t="s">
        <v>0</v>
      </c>
      <c r="B28" s="1">
        <v>130</v>
      </c>
      <c r="C28" s="1">
        <v>195</v>
      </c>
      <c r="D28" s="1">
        <v>41</v>
      </c>
      <c r="E28" s="1">
        <v>47</v>
      </c>
      <c r="F28" s="1">
        <v>25</v>
      </c>
      <c r="G28" s="3">
        <v>34</v>
      </c>
      <c r="H28" s="1">
        <v>18</v>
      </c>
      <c r="I28" s="3">
        <v>28</v>
      </c>
      <c r="J28" s="1">
        <v>25</v>
      </c>
      <c r="K28" s="1">
        <v>36</v>
      </c>
      <c r="M28">
        <f>B28+D28+F28+H28+J28</f>
        <v>239</v>
      </c>
      <c r="N28">
        <f>C28+E28+G28+I28+K28</f>
        <v>340</v>
      </c>
      <c r="O28">
        <f>M28/N28*100</f>
        <v>70.294117647058812</v>
      </c>
      <c r="Q28" t="s">
        <v>0</v>
      </c>
      <c r="R28" s="3">
        <v>124</v>
      </c>
      <c r="S28" s="1">
        <v>195</v>
      </c>
      <c r="T28" s="1">
        <v>35</v>
      </c>
      <c r="U28" s="3">
        <v>47</v>
      </c>
      <c r="V28" s="1">
        <v>22</v>
      </c>
      <c r="W28" s="3">
        <v>34</v>
      </c>
      <c r="X28" s="1">
        <v>17</v>
      </c>
      <c r="Y28" s="3">
        <v>28</v>
      </c>
      <c r="Z28">
        <v>20</v>
      </c>
      <c r="AA28" s="1">
        <v>36</v>
      </c>
      <c r="AC28">
        <f>R28+T28+V28+X28+Z28</f>
        <v>218</v>
      </c>
      <c r="AD28">
        <f>S28+U28+W28+Y28+AA28</f>
        <v>340</v>
      </c>
      <c r="AE28">
        <f>AC28/AD28*100</f>
        <v>64.117647058823536</v>
      </c>
      <c r="AH28" s="5" t="s">
        <v>51</v>
      </c>
      <c r="AI28">
        <v>239</v>
      </c>
      <c r="AJ28">
        <v>340</v>
      </c>
      <c r="AK28">
        <v>70.294117647058812</v>
      </c>
      <c r="AL28" s="10">
        <f>AY4-AK28</f>
        <v>2.9091189069630872</v>
      </c>
      <c r="AM28">
        <v>218</v>
      </c>
      <c r="AN28">
        <v>340</v>
      </c>
      <c r="AO28">
        <v>64.117647058823536</v>
      </c>
      <c r="AP28" s="10">
        <f>AZ4-AO28</f>
        <v>0.18506593498894119</v>
      </c>
    </row>
    <row r="29" spans="1:52" ht="19" x14ac:dyDescent="0.25">
      <c r="A29" t="s">
        <v>11</v>
      </c>
      <c r="B29" s="1">
        <v>221</v>
      </c>
      <c r="C29" s="1">
        <v>585</v>
      </c>
      <c r="D29" s="1">
        <v>75</v>
      </c>
      <c r="E29" s="1">
        <v>141</v>
      </c>
      <c r="F29" s="1">
        <v>48</v>
      </c>
      <c r="G29" s="1">
        <v>102</v>
      </c>
      <c r="H29" s="1">
        <v>29</v>
      </c>
      <c r="I29" s="1">
        <v>84</v>
      </c>
      <c r="J29" s="1">
        <v>29</v>
      </c>
      <c r="K29" s="1">
        <v>108</v>
      </c>
      <c r="M29">
        <f t="shared" ref="M29:M43" si="8">B29+D29+F29+H29+J29</f>
        <v>402</v>
      </c>
      <c r="N29">
        <f t="shared" ref="N29:N43" si="9">C29+E29+G29+I29+K29</f>
        <v>1020</v>
      </c>
      <c r="O29">
        <f t="shared" ref="O29:O43" si="10">M29/N29*100</f>
        <v>39.411764705882355</v>
      </c>
      <c r="Q29" t="s">
        <v>11</v>
      </c>
      <c r="R29" s="1">
        <v>147</v>
      </c>
      <c r="S29" s="1">
        <v>585</v>
      </c>
      <c r="T29" s="1">
        <v>52</v>
      </c>
      <c r="U29" s="1">
        <v>141</v>
      </c>
      <c r="V29" s="1">
        <v>42</v>
      </c>
      <c r="W29" s="1">
        <v>102</v>
      </c>
      <c r="X29" s="1">
        <v>25</v>
      </c>
      <c r="Y29" s="1">
        <v>84</v>
      </c>
      <c r="Z29">
        <v>32</v>
      </c>
      <c r="AA29" s="1">
        <v>108</v>
      </c>
      <c r="AC29">
        <f t="shared" ref="AC29:AC43" si="11">R29+T29+V29+X29+Z29</f>
        <v>298</v>
      </c>
      <c r="AD29">
        <f t="shared" ref="AD29:AD42" si="12">S29+U29+W29+Y29+AA29</f>
        <v>1020</v>
      </c>
      <c r="AE29">
        <f t="shared" ref="AE29:AE43" si="13">AC29/AD29*100</f>
        <v>29.215686274509807</v>
      </c>
      <c r="AH29" s="5" t="s">
        <v>38</v>
      </c>
      <c r="AI29">
        <v>698</v>
      </c>
      <c r="AJ29">
        <v>1020</v>
      </c>
      <c r="AK29">
        <v>68.431372549019613</v>
      </c>
      <c r="AL29" s="11">
        <f>AY5-AK29</f>
        <v>-1.5425894298700058</v>
      </c>
      <c r="AM29">
        <v>600</v>
      </c>
      <c r="AN29">
        <v>1020</v>
      </c>
      <c r="AO29">
        <v>58.82352941176471</v>
      </c>
      <c r="AP29" s="11">
        <f t="shared" ref="AP29:AP43" si="14">AZ5-AO29</f>
        <v>-2.0569103414807159</v>
      </c>
    </row>
    <row r="30" spans="1:52" ht="19" x14ac:dyDescent="0.25">
      <c r="A30" t="s">
        <v>6</v>
      </c>
      <c r="B30" s="1">
        <v>287</v>
      </c>
      <c r="C30" s="1">
        <v>585</v>
      </c>
      <c r="D30" s="1">
        <v>99</v>
      </c>
      <c r="E30" s="1">
        <v>141</v>
      </c>
      <c r="F30" s="1">
        <v>58</v>
      </c>
      <c r="G30" s="1">
        <v>102</v>
      </c>
      <c r="H30" s="1">
        <v>29</v>
      </c>
      <c r="I30" s="1">
        <v>84</v>
      </c>
      <c r="J30" s="1">
        <v>42</v>
      </c>
      <c r="K30" s="1">
        <v>108</v>
      </c>
      <c r="M30">
        <f t="shared" si="8"/>
        <v>515</v>
      </c>
      <c r="N30">
        <f t="shared" si="9"/>
        <v>1020</v>
      </c>
      <c r="O30">
        <f t="shared" si="10"/>
        <v>50.490196078431367</v>
      </c>
      <c r="Q30" t="s">
        <v>6</v>
      </c>
      <c r="R30" s="1">
        <v>219</v>
      </c>
      <c r="S30" s="1">
        <v>585</v>
      </c>
      <c r="T30" s="1">
        <v>75</v>
      </c>
      <c r="U30" s="1">
        <v>141</v>
      </c>
      <c r="V30" s="1">
        <v>54</v>
      </c>
      <c r="W30" s="1">
        <v>102</v>
      </c>
      <c r="X30" s="1">
        <v>31</v>
      </c>
      <c r="Y30" s="1">
        <v>84</v>
      </c>
      <c r="Z30">
        <v>41</v>
      </c>
      <c r="AA30" s="1">
        <v>108</v>
      </c>
      <c r="AC30">
        <f t="shared" si="11"/>
        <v>420</v>
      </c>
      <c r="AD30">
        <f t="shared" si="12"/>
        <v>1020</v>
      </c>
      <c r="AE30">
        <f t="shared" si="13"/>
        <v>41.17647058823529</v>
      </c>
      <c r="AH30" s="5" t="s">
        <v>39</v>
      </c>
      <c r="AI30">
        <v>515</v>
      </c>
      <c r="AJ30">
        <v>1020</v>
      </c>
      <c r="AK30">
        <v>50.490196078431367</v>
      </c>
      <c r="AL30" s="10">
        <f>AY6-AK30</f>
        <v>1.5009192634693136</v>
      </c>
      <c r="AM30">
        <v>420</v>
      </c>
      <c r="AN30">
        <v>1020</v>
      </c>
      <c r="AO30">
        <v>41.17647058823529</v>
      </c>
      <c r="AP30" s="10">
        <f t="shared" si="14"/>
        <v>1.1208481488740247</v>
      </c>
    </row>
    <row r="31" spans="1:52" ht="19" x14ac:dyDescent="0.25">
      <c r="A31" t="s">
        <v>1</v>
      </c>
      <c r="B31" s="1">
        <v>395</v>
      </c>
      <c r="C31" s="1">
        <v>585</v>
      </c>
      <c r="D31" s="1">
        <v>109</v>
      </c>
      <c r="E31" s="1">
        <v>141</v>
      </c>
      <c r="F31" s="1">
        <v>74</v>
      </c>
      <c r="G31" s="1">
        <v>102</v>
      </c>
      <c r="H31" s="1">
        <v>54</v>
      </c>
      <c r="I31" s="1">
        <v>84</v>
      </c>
      <c r="J31" s="1">
        <v>66</v>
      </c>
      <c r="K31" s="1">
        <v>108</v>
      </c>
      <c r="M31">
        <f t="shared" si="8"/>
        <v>698</v>
      </c>
      <c r="N31">
        <f t="shared" si="9"/>
        <v>1020</v>
      </c>
      <c r="O31">
        <f t="shared" si="10"/>
        <v>68.431372549019613</v>
      </c>
      <c r="Q31" t="s">
        <v>1</v>
      </c>
      <c r="R31" s="1">
        <v>335</v>
      </c>
      <c r="S31" s="1">
        <v>585</v>
      </c>
      <c r="T31" s="1">
        <v>99</v>
      </c>
      <c r="U31" s="1">
        <v>141</v>
      </c>
      <c r="V31" s="1">
        <v>62</v>
      </c>
      <c r="W31" s="1">
        <v>102</v>
      </c>
      <c r="X31" s="1">
        <v>46</v>
      </c>
      <c r="Y31" s="1">
        <v>84</v>
      </c>
      <c r="Z31">
        <v>58</v>
      </c>
      <c r="AA31" s="1">
        <v>108</v>
      </c>
      <c r="AC31">
        <f t="shared" si="11"/>
        <v>600</v>
      </c>
      <c r="AD31">
        <f t="shared" si="12"/>
        <v>1020</v>
      </c>
      <c r="AE31">
        <f t="shared" si="13"/>
        <v>58.82352941176471</v>
      </c>
      <c r="AH31" s="5" t="s">
        <v>40</v>
      </c>
      <c r="AI31">
        <v>402</v>
      </c>
      <c r="AJ31">
        <v>1020</v>
      </c>
      <c r="AK31">
        <v>39.411764705882355</v>
      </c>
      <c r="AL31" s="10">
        <f t="shared" ref="AL31:AL43" si="15">AY7-AK31</f>
        <v>0.600927662830955</v>
      </c>
      <c r="AM31">
        <v>298</v>
      </c>
      <c r="AN31">
        <v>1020</v>
      </c>
      <c r="AO31">
        <v>29.215686274509807</v>
      </c>
      <c r="AP31" s="10">
        <f t="shared" si="14"/>
        <v>0.77479293843846264</v>
      </c>
    </row>
    <row r="32" spans="1:52" ht="19" x14ac:dyDescent="0.25">
      <c r="A32" t="s">
        <v>27</v>
      </c>
      <c r="B32" s="1">
        <v>410</v>
      </c>
      <c r="C32" s="1">
        <v>585</v>
      </c>
      <c r="D32" s="1">
        <v>116</v>
      </c>
      <c r="E32" s="1">
        <v>141</v>
      </c>
      <c r="F32" s="1">
        <v>75</v>
      </c>
      <c r="G32" s="1">
        <v>102</v>
      </c>
      <c r="H32" s="1">
        <v>52</v>
      </c>
      <c r="I32" s="1">
        <v>84</v>
      </c>
      <c r="J32" s="1">
        <v>67</v>
      </c>
      <c r="K32" s="1">
        <v>108</v>
      </c>
      <c r="M32">
        <f t="shared" si="8"/>
        <v>720</v>
      </c>
      <c r="N32">
        <f t="shared" si="9"/>
        <v>1020</v>
      </c>
      <c r="O32">
        <f t="shared" si="10"/>
        <v>70.588235294117652</v>
      </c>
      <c r="Q32" t="s">
        <v>27</v>
      </c>
      <c r="R32" s="1">
        <v>386</v>
      </c>
      <c r="S32" s="1">
        <v>585</v>
      </c>
      <c r="T32" s="1">
        <v>112</v>
      </c>
      <c r="U32" s="1">
        <v>141</v>
      </c>
      <c r="V32" s="1">
        <v>62</v>
      </c>
      <c r="W32" s="1">
        <v>102</v>
      </c>
      <c r="X32" s="1">
        <v>53</v>
      </c>
      <c r="Y32" s="1">
        <v>84</v>
      </c>
      <c r="Z32">
        <v>56</v>
      </c>
      <c r="AA32" s="1">
        <v>108</v>
      </c>
      <c r="AC32">
        <f t="shared" si="11"/>
        <v>669</v>
      </c>
      <c r="AD32">
        <f t="shared" si="12"/>
        <v>1020</v>
      </c>
      <c r="AE32">
        <f t="shared" si="13"/>
        <v>65.588235294117652</v>
      </c>
      <c r="AH32" s="5" t="s">
        <v>41</v>
      </c>
      <c r="AI32">
        <v>719</v>
      </c>
      <c r="AJ32">
        <v>1020</v>
      </c>
      <c r="AK32">
        <v>70.490196078431381</v>
      </c>
      <c r="AL32" s="11">
        <f t="shared" si="15"/>
        <v>-0.34899347649580648</v>
      </c>
      <c r="AM32">
        <v>579</v>
      </c>
      <c r="AN32">
        <v>828</v>
      </c>
      <c r="AO32">
        <v>69.927536231884062</v>
      </c>
      <c r="AP32" s="11">
        <f t="shared" si="14"/>
        <v>-8.2584897460836473</v>
      </c>
    </row>
    <row r="33" spans="1:42" ht="19" x14ac:dyDescent="0.25">
      <c r="A33" t="s">
        <v>7</v>
      </c>
      <c r="B33" s="1">
        <v>412</v>
      </c>
      <c r="C33" s="1">
        <v>585</v>
      </c>
      <c r="D33" s="1">
        <v>118</v>
      </c>
      <c r="E33" s="1">
        <v>141</v>
      </c>
      <c r="F33" s="1">
        <v>78</v>
      </c>
      <c r="G33" s="1">
        <v>102</v>
      </c>
      <c r="H33" s="1">
        <v>55</v>
      </c>
      <c r="I33" s="1">
        <v>84</v>
      </c>
      <c r="J33" s="1">
        <v>68</v>
      </c>
      <c r="K33" s="1">
        <v>108</v>
      </c>
      <c r="M33">
        <f t="shared" si="8"/>
        <v>731</v>
      </c>
      <c r="N33">
        <f t="shared" si="9"/>
        <v>1020</v>
      </c>
      <c r="O33">
        <f t="shared" si="10"/>
        <v>71.666666666666671</v>
      </c>
      <c r="Q33" t="s">
        <v>7</v>
      </c>
      <c r="R33" s="1">
        <v>376</v>
      </c>
      <c r="S33" s="1">
        <v>585</v>
      </c>
      <c r="T33" s="1">
        <v>120</v>
      </c>
      <c r="U33" s="1">
        <v>141</v>
      </c>
      <c r="V33" s="1">
        <v>64</v>
      </c>
      <c r="W33" s="1">
        <v>102</v>
      </c>
      <c r="X33" s="1">
        <v>48</v>
      </c>
      <c r="Y33" s="1">
        <v>84</v>
      </c>
      <c r="Z33">
        <v>58</v>
      </c>
      <c r="AA33" s="1">
        <v>108</v>
      </c>
      <c r="AC33">
        <f t="shared" si="11"/>
        <v>666</v>
      </c>
      <c r="AD33">
        <f t="shared" si="12"/>
        <v>1020</v>
      </c>
      <c r="AE33">
        <f t="shared" si="13"/>
        <v>65.294117647058826</v>
      </c>
      <c r="AH33" s="5" t="s">
        <v>42</v>
      </c>
      <c r="AI33">
        <v>647</v>
      </c>
      <c r="AJ33">
        <v>1020</v>
      </c>
      <c r="AK33">
        <v>63.431372549019606</v>
      </c>
      <c r="AL33" s="10">
        <f t="shared" si="15"/>
        <v>2.9973122042724683</v>
      </c>
      <c r="AM33">
        <v>548</v>
      </c>
      <c r="AN33">
        <v>1020</v>
      </c>
      <c r="AO33">
        <v>53.725490196078432</v>
      </c>
      <c r="AP33" s="10">
        <f t="shared" si="14"/>
        <v>0.13774953103564513</v>
      </c>
    </row>
    <row r="34" spans="1:42" ht="19" x14ac:dyDescent="0.25">
      <c r="A34" t="s">
        <v>28</v>
      </c>
      <c r="B34" s="1">
        <v>425</v>
      </c>
      <c r="C34" s="1">
        <v>585</v>
      </c>
      <c r="D34" s="1">
        <v>119</v>
      </c>
      <c r="E34" s="1">
        <v>141</v>
      </c>
      <c r="F34" s="1">
        <v>78</v>
      </c>
      <c r="G34" s="1">
        <v>102</v>
      </c>
      <c r="H34" s="1">
        <v>57</v>
      </c>
      <c r="I34" s="1">
        <v>84</v>
      </c>
      <c r="J34" s="1">
        <v>68</v>
      </c>
      <c r="K34" s="1">
        <v>108</v>
      </c>
      <c r="M34">
        <f t="shared" si="8"/>
        <v>747</v>
      </c>
      <c r="N34">
        <f t="shared" si="9"/>
        <v>1020</v>
      </c>
      <c r="O34">
        <f t="shared" si="10"/>
        <v>73.235294117647058</v>
      </c>
      <c r="Q34" t="s">
        <v>28</v>
      </c>
      <c r="R34" s="1">
        <v>389</v>
      </c>
      <c r="S34" s="1">
        <v>585</v>
      </c>
      <c r="T34" s="1">
        <v>118</v>
      </c>
      <c r="U34" s="1">
        <v>141</v>
      </c>
      <c r="V34" s="1">
        <v>62</v>
      </c>
      <c r="W34" s="1">
        <v>102</v>
      </c>
      <c r="X34" s="1">
        <v>52</v>
      </c>
      <c r="Y34" s="1">
        <v>84</v>
      </c>
      <c r="Z34">
        <v>60</v>
      </c>
      <c r="AA34" s="1">
        <v>108</v>
      </c>
      <c r="AC34">
        <f t="shared" si="11"/>
        <v>681</v>
      </c>
      <c r="AD34">
        <f t="shared" si="12"/>
        <v>1020</v>
      </c>
      <c r="AE34">
        <f t="shared" si="13"/>
        <v>66.764705882352942</v>
      </c>
      <c r="AH34" s="5" t="s">
        <v>43</v>
      </c>
      <c r="AI34">
        <v>616</v>
      </c>
      <c r="AJ34">
        <v>1020</v>
      </c>
      <c r="AK34">
        <v>60.392156862745097</v>
      </c>
      <c r="AL34" s="10">
        <f t="shared" si="15"/>
        <v>0.81679125719779222</v>
      </c>
      <c r="AM34">
        <v>467</v>
      </c>
      <c r="AN34">
        <v>1020</v>
      </c>
      <c r="AO34">
        <v>45.784313725490193</v>
      </c>
      <c r="AP34" s="11">
        <f t="shared" si="14"/>
        <v>-1.8052561338671538</v>
      </c>
    </row>
    <row r="35" spans="1:42" ht="19" x14ac:dyDescent="0.25">
      <c r="A35" t="s">
        <v>13</v>
      </c>
      <c r="B35" s="1">
        <v>378</v>
      </c>
      <c r="C35" s="1">
        <v>585</v>
      </c>
      <c r="D35" s="1">
        <v>114</v>
      </c>
      <c r="E35" s="1">
        <v>141</v>
      </c>
      <c r="F35" s="1">
        <v>78</v>
      </c>
      <c r="G35" s="1">
        <v>102</v>
      </c>
      <c r="H35" s="1">
        <v>44</v>
      </c>
      <c r="I35" s="1">
        <v>84</v>
      </c>
      <c r="J35" s="1">
        <v>57</v>
      </c>
      <c r="K35" s="1">
        <v>108</v>
      </c>
      <c r="M35">
        <f t="shared" si="8"/>
        <v>671</v>
      </c>
      <c r="N35">
        <f t="shared" si="9"/>
        <v>1020</v>
      </c>
      <c r="O35">
        <f t="shared" si="10"/>
        <v>65.784313725490193</v>
      </c>
      <c r="Q35" t="s">
        <v>13</v>
      </c>
      <c r="R35" s="1">
        <v>325</v>
      </c>
      <c r="S35" s="1">
        <v>585</v>
      </c>
      <c r="T35" s="1">
        <v>112</v>
      </c>
      <c r="U35" s="1">
        <v>141</v>
      </c>
      <c r="V35" s="1">
        <v>62</v>
      </c>
      <c r="W35" s="1">
        <v>102</v>
      </c>
      <c r="X35" s="1">
        <v>37</v>
      </c>
      <c r="Y35" s="1">
        <v>84</v>
      </c>
      <c r="Z35">
        <v>53</v>
      </c>
      <c r="AA35" s="1">
        <v>108</v>
      </c>
      <c r="AC35">
        <f t="shared" si="11"/>
        <v>589</v>
      </c>
      <c r="AD35">
        <f t="shared" si="12"/>
        <v>1020</v>
      </c>
      <c r="AE35">
        <f t="shared" si="13"/>
        <v>57.745098039215684</v>
      </c>
      <c r="AH35" s="5" t="s">
        <v>44</v>
      </c>
      <c r="AI35">
        <v>698</v>
      </c>
      <c r="AJ35">
        <v>1020</v>
      </c>
      <c r="AK35">
        <v>68.431372549019613</v>
      </c>
      <c r="AL35" s="10">
        <f t="shared" si="15"/>
        <v>2.4396412539313701</v>
      </c>
      <c r="AM35">
        <v>650</v>
      </c>
      <c r="AN35">
        <v>1020</v>
      </c>
      <c r="AO35">
        <v>63.725490196078425</v>
      </c>
      <c r="AP35" s="11">
        <f t="shared" si="14"/>
        <v>-0.20018478595626021</v>
      </c>
    </row>
    <row r="36" spans="1:42" ht="19" x14ac:dyDescent="0.25">
      <c r="A36" t="s">
        <v>8</v>
      </c>
      <c r="B36" s="1">
        <v>390</v>
      </c>
      <c r="C36" s="1">
        <v>585</v>
      </c>
      <c r="D36" s="1">
        <v>116</v>
      </c>
      <c r="E36" s="1">
        <v>141</v>
      </c>
      <c r="F36" s="1">
        <v>75</v>
      </c>
      <c r="G36" s="1">
        <v>102</v>
      </c>
      <c r="H36" s="1">
        <v>45</v>
      </c>
      <c r="I36" s="1">
        <v>84</v>
      </c>
      <c r="J36" s="1">
        <v>60</v>
      </c>
      <c r="K36" s="1">
        <v>108</v>
      </c>
      <c r="M36">
        <f t="shared" si="8"/>
        <v>686</v>
      </c>
      <c r="N36">
        <f t="shared" si="9"/>
        <v>1020</v>
      </c>
      <c r="O36">
        <f t="shared" si="10"/>
        <v>67.254901960784323</v>
      </c>
      <c r="Q36" t="s">
        <v>8</v>
      </c>
      <c r="R36" s="1">
        <v>359</v>
      </c>
      <c r="S36" s="1">
        <v>585</v>
      </c>
      <c r="T36" s="1">
        <v>113</v>
      </c>
      <c r="U36" s="1">
        <v>141</v>
      </c>
      <c r="V36" s="1">
        <v>70</v>
      </c>
      <c r="W36" s="1">
        <v>102</v>
      </c>
      <c r="X36" s="1">
        <v>39</v>
      </c>
      <c r="Y36" s="1">
        <v>84</v>
      </c>
      <c r="Z36">
        <v>53</v>
      </c>
      <c r="AA36" s="1">
        <v>108</v>
      </c>
      <c r="AC36">
        <f t="shared" si="11"/>
        <v>634</v>
      </c>
      <c r="AD36">
        <f t="shared" si="12"/>
        <v>1020</v>
      </c>
      <c r="AE36">
        <f t="shared" si="13"/>
        <v>62.156862745098039</v>
      </c>
      <c r="AH36" s="5" t="s">
        <v>45</v>
      </c>
      <c r="AI36">
        <v>686</v>
      </c>
      <c r="AJ36">
        <v>1020</v>
      </c>
      <c r="AK36">
        <v>67.254901960784323</v>
      </c>
      <c r="AL36" s="10">
        <f t="shared" si="15"/>
        <v>0.33196143759739982</v>
      </c>
      <c r="AM36">
        <v>634</v>
      </c>
      <c r="AN36">
        <v>1020</v>
      </c>
      <c r="AO36">
        <v>62.156862745098039</v>
      </c>
      <c r="AP36" s="11">
        <f t="shared" si="14"/>
        <v>-1.0113764687217142</v>
      </c>
    </row>
    <row r="37" spans="1:42" ht="19" x14ac:dyDescent="0.25">
      <c r="A37" t="s">
        <v>3</v>
      </c>
      <c r="B37" s="1">
        <v>387</v>
      </c>
      <c r="C37" s="1">
        <v>585</v>
      </c>
      <c r="D37" s="1">
        <v>113</v>
      </c>
      <c r="E37" s="1">
        <v>141</v>
      </c>
      <c r="F37" s="1">
        <v>79</v>
      </c>
      <c r="G37" s="1">
        <v>102</v>
      </c>
      <c r="H37" s="1">
        <v>51</v>
      </c>
      <c r="I37" s="1">
        <v>84</v>
      </c>
      <c r="J37" s="1">
        <v>68</v>
      </c>
      <c r="K37" s="1">
        <v>108</v>
      </c>
      <c r="M37">
        <f t="shared" si="8"/>
        <v>698</v>
      </c>
      <c r="N37">
        <f t="shared" si="9"/>
        <v>1020</v>
      </c>
      <c r="O37">
        <f t="shared" si="10"/>
        <v>68.431372549019613</v>
      </c>
      <c r="Q37" t="s">
        <v>3</v>
      </c>
      <c r="R37" s="1">
        <v>376</v>
      </c>
      <c r="S37" s="1">
        <v>585</v>
      </c>
      <c r="T37" s="1">
        <v>105</v>
      </c>
      <c r="U37" s="1">
        <v>141</v>
      </c>
      <c r="V37" s="1">
        <v>61</v>
      </c>
      <c r="W37" s="1">
        <v>102</v>
      </c>
      <c r="X37" s="1">
        <v>51</v>
      </c>
      <c r="Y37" s="1">
        <v>84</v>
      </c>
      <c r="Z37">
        <v>57</v>
      </c>
      <c r="AA37" s="1">
        <v>108</v>
      </c>
      <c r="AC37">
        <f t="shared" si="11"/>
        <v>650</v>
      </c>
      <c r="AD37">
        <f t="shared" si="12"/>
        <v>1020</v>
      </c>
      <c r="AE37">
        <f t="shared" si="13"/>
        <v>63.725490196078425</v>
      </c>
      <c r="AH37" s="5" t="s">
        <v>46</v>
      </c>
      <c r="AI37">
        <v>671</v>
      </c>
      <c r="AJ37">
        <v>1020</v>
      </c>
      <c r="AK37">
        <v>65.784313725490193</v>
      </c>
      <c r="AL37" s="10">
        <f t="shared" si="15"/>
        <v>4.1483513919601478E-2</v>
      </c>
      <c r="AM37">
        <v>589</v>
      </c>
      <c r="AN37">
        <v>1020</v>
      </c>
      <c r="AO37">
        <v>57.745098039215684</v>
      </c>
      <c r="AP37" s="10">
        <f t="shared" si="14"/>
        <v>1.9407658351298593</v>
      </c>
    </row>
    <row r="38" spans="1:42" ht="19" x14ac:dyDescent="0.25">
      <c r="A38" t="s">
        <v>15</v>
      </c>
      <c r="B38" s="1">
        <v>278</v>
      </c>
      <c r="C38" s="1">
        <v>585</v>
      </c>
      <c r="D38" s="1">
        <v>96</v>
      </c>
      <c r="E38" s="1">
        <v>141</v>
      </c>
      <c r="F38" s="1">
        <v>62</v>
      </c>
      <c r="G38" s="1">
        <v>102</v>
      </c>
      <c r="H38" s="1">
        <v>38</v>
      </c>
      <c r="I38" s="1">
        <v>84</v>
      </c>
      <c r="J38" s="1">
        <v>49</v>
      </c>
      <c r="K38" s="1">
        <v>108</v>
      </c>
      <c r="M38">
        <f t="shared" si="8"/>
        <v>523</v>
      </c>
      <c r="N38">
        <f t="shared" si="9"/>
        <v>1020</v>
      </c>
      <c r="O38">
        <f t="shared" si="10"/>
        <v>51.274509803921561</v>
      </c>
      <c r="Q38" t="s">
        <v>15</v>
      </c>
      <c r="R38" s="1">
        <v>258</v>
      </c>
      <c r="S38" s="1">
        <v>585</v>
      </c>
      <c r="T38" s="1">
        <v>97</v>
      </c>
      <c r="U38" s="1">
        <v>141</v>
      </c>
      <c r="V38" s="1">
        <v>44</v>
      </c>
      <c r="W38" s="1">
        <v>102</v>
      </c>
      <c r="X38" s="1">
        <v>36</v>
      </c>
      <c r="Y38" s="1">
        <v>84</v>
      </c>
      <c r="Z38">
        <v>45</v>
      </c>
      <c r="AA38" s="1">
        <v>108</v>
      </c>
      <c r="AC38">
        <f t="shared" si="11"/>
        <v>480</v>
      </c>
      <c r="AD38">
        <f t="shared" si="12"/>
        <v>1020</v>
      </c>
      <c r="AE38">
        <f t="shared" si="13"/>
        <v>47.058823529411761</v>
      </c>
      <c r="AH38" s="5" t="s">
        <v>47</v>
      </c>
      <c r="AI38">
        <v>747</v>
      </c>
      <c r="AJ38">
        <v>1020</v>
      </c>
      <c r="AK38">
        <v>73.235294117647058</v>
      </c>
      <c r="AL38" s="10">
        <f t="shared" si="15"/>
        <v>1.0626592378979183</v>
      </c>
      <c r="AM38">
        <v>681</v>
      </c>
      <c r="AN38">
        <v>1020</v>
      </c>
      <c r="AO38">
        <v>66.764705882352942</v>
      </c>
      <c r="AP38" s="11">
        <f t="shared" si="14"/>
        <v>-1.5735270786086915</v>
      </c>
    </row>
    <row r="39" spans="1:42" ht="19" x14ac:dyDescent="0.25">
      <c r="A39" t="s">
        <v>10</v>
      </c>
      <c r="B39" s="1">
        <v>330</v>
      </c>
      <c r="C39" s="1">
        <v>585</v>
      </c>
      <c r="D39" s="1">
        <v>88</v>
      </c>
      <c r="E39" s="1">
        <v>141</v>
      </c>
      <c r="F39" s="1">
        <v>71</v>
      </c>
      <c r="G39" s="1">
        <v>102</v>
      </c>
      <c r="H39" s="1">
        <v>41</v>
      </c>
      <c r="I39" s="1">
        <v>84</v>
      </c>
      <c r="J39" s="1">
        <v>59</v>
      </c>
      <c r="K39" s="1">
        <v>108</v>
      </c>
      <c r="M39">
        <f t="shared" si="8"/>
        <v>589</v>
      </c>
      <c r="N39">
        <f t="shared" si="9"/>
        <v>1020</v>
      </c>
      <c r="O39">
        <f t="shared" si="10"/>
        <v>57.745098039215684</v>
      </c>
      <c r="Q39" t="s">
        <v>10</v>
      </c>
      <c r="R39" s="1">
        <v>326</v>
      </c>
      <c r="S39" s="1">
        <v>585</v>
      </c>
      <c r="T39" s="1">
        <v>83</v>
      </c>
      <c r="U39" s="1">
        <v>141</v>
      </c>
      <c r="V39" s="1">
        <v>57</v>
      </c>
      <c r="W39" s="1">
        <v>102</v>
      </c>
      <c r="X39" s="1">
        <v>40</v>
      </c>
      <c r="Y39" s="1">
        <v>84</v>
      </c>
      <c r="Z39">
        <v>55</v>
      </c>
      <c r="AA39" s="1">
        <v>108</v>
      </c>
      <c r="AC39">
        <f t="shared" si="11"/>
        <v>561</v>
      </c>
      <c r="AD39">
        <f t="shared" si="12"/>
        <v>1020</v>
      </c>
      <c r="AE39">
        <f t="shared" si="13"/>
        <v>55.000000000000007</v>
      </c>
      <c r="AH39" s="5" t="s">
        <v>48</v>
      </c>
      <c r="AI39">
        <v>731</v>
      </c>
      <c r="AJ39">
        <v>1020</v>
      </c>
      <c r="AK39">
        <v>71.666666666666671</v>
      </c>
      <c r="AL39" s="10">
        <f t="shared" si="15"/>
        <v>1.774551800729796</v>
      </c>
      <c r="AM39">
        <v>666</v>
      </c>
      <c r="AN39">
        <v>1020</v>
      </c>
      <c r="AO39">
        <v>65.294117647058826</v>
      </c>
      <c r="AP39" s="11">
        <f t="shared" si="14"/>
        <v>-1.2293865666209456</v>
      </c>
    </row>
    <row r="40" spans="1:42" ht="19" x14ac:dyDescent="0.25">
      <c r="A40" t="s">
        <v>5</v>
      </c>
      <c r="B40" s="1">
        <v>368</v>
      </c>
      <c r="C40" s="1">
        <v>585</v>
      </c>
      <c r="D40" s="1">
        <v>102</v>
      </c>
      <c r="E40" s="1">
        <v>141</v>
      </c>
      <c r="F40" s="1">
        <v>71</v>
      </c>
      <c r="G40" s="1">
        <v>102</v>
      </c>
      <c r="H40" s="1">
        <v>48</v>
      </c>
      <c r="I40" s="1">
        <v>84</v>
      </c>
      <c r="J40" s="1">
        <v>52</v>
      </c>
      <c r="K40" s="1">
        <v>108</v>
      </c>
      <c r="M40">
        <f t="shared" si="8"/>
        <v>641</v>
      </c>
      <c r="N40">
        <f t="shared" si="9"/>
        <v>1020</v>
      </c>
      <c r="O40">
        <f t="shared" si="10"/>
        <v>62.843137254901961</v>
      </c>
      <c r="Q40" t="s">
        <v>5</v>
      </c>
      <c r="R40" s="1">
        <v>356</v>
      </c>
      <c r="S40" s="1">
        <v>585</v>
      </c>
      <c r="T40" s="1">
        <v>99</v>
      </c>
      <c r="U40" s="1">
        <v>141</v>
      </c>
      <c r="V40" s="1">
        <v>52</v>
      </c>
      <c r="W40" s="1">
        <v>102</v>
      </c>
      <c r="X40" s="1">
        <v>44</v>
      </c>
      <c r="Y40" s="1">
        <v>84</v>
      </c>
      <c r="Z40">
        <v>56</v>
      </c>
      <c r="AA40" s="1">
        <v>108</v>
      </c>
      <c r="AC40">
        <f t="shared" si="11"/>
        <v>607</v>
      </c>
      <c r="AD40">
        <f t="shared" si="12"/>
        <v>1020</v>
      </c>
      <c r="AE40">
        <f t="shared" si="13"/>
        <v>59.509803921568626</v>
      </c>
      <c r="AH40" s="5" t="s">
        <v>49</v>
      </c>
      <c r="AI40">
        <v>720</v>
      </c>
      <c r="AJ40">
        <v>1020</v>
      </c>
      <c r="AK40">
        <v>70.588235294117652</v>
      </c>
      <c r="AL40" s="10">
        <f t="shared" si="15"/>
        <v>2.7101940252540686</v>
      </c>
      <c r="AM40">
        <v>669</v>
      </c>
      <c r="AN40">
        <v>1020</v>
      </c>
      <c r="AO40">
        <v>65.588235294117652</v>
      </c>
      <c r="AP40" s="11">
        <f t="shared" si="14"/>
        <v>-1.3965805265466571</v>
      </c>
    </row>
    <row r="41" spans="1:42" ht="19" x14ac:dyDescent="0.25">
      <c r="A41" t="s">
        <v>14</v>
      </c>
      <c r="B41" s="1">
        <v>358</v>
      </c>
      <c r="C41" s="1">
        <v>585</v>
      </c>
      <c r="D41" s="1">
        <v>105</v>
      </c>
      <c r="E41" s="1">
        <v>141</v>
      </c>
      <c r="F41" s="1">
        <v>53</v>
      </c>
      <c r="G41" s="1">
        <v>102</v>
      </c>
      <c r="H41" s="1">
        <v>46</v>
      </c>
      <c r="I41" s="1">
        <v>84</v>
      </c>
      <c r="J41" s="1">
        <v>54</v>
      </c>
      <c r="K41" s="1">
        <v>108</v>
      </c>
      <c r="M41">
        <f t="shared" si="8"/>
        <v>616</v>
      </c>
      <c r="N41">
        <f t="shared" si="9"/>
        <v>1020</v>
      </c>
      <c r="O41">
        <f t="shared" si="10"/>
        <v>60.392156862745097</v>
      </c>
      <c r="Q41" t="s">
        <v>14</v>
      </c>
      <c r="R41" s="1">
        <v>277</v>
      </c>
      <c r="S41" s="1">
        <v>585</v>
      </c>
      <c r="T41" s="1">
        <v>66</v>
      </c>
      <c r="U41" s="1">
        <v>141</v>
      </c>
      <c r="V41" s="1">
        <v>39</v>
      </c>
      <c r="W41" s="1">
        <v>102</v>
      </c>
      <c r="X41" s="1">
        <v>34</v>
      </c>
      <c r="Y41" s="1">
        <v>84</v>
      </c>
      <c r="Z41">
        <v>51</v>
      </c>
      <c r="AA41" s="1">
        <v>108</v>
      </c>
      <c r="AC41">
        <f t="shared" si="11"/>
        <v>467</v>
      </c>
      <c r="AD41">
        <f t="shared" si="12"/>
        <v>1020</v>
      </c>
      <c r="AE41">
        <f t="shared" si="13"/>
        <v>45.784313725490193</v>
      </c>
      <c r="AH41" s="5" t="s">
        <v>50</v>
      </c>
      <c r="AI41">
        <v>641</v>
      </c>
      <c r="AJ41">
        <v>1020</v>
      </c>
      <c r="AK41">
        <v>62.843137254901961</v>
      </c>
      <c r="AL41" s="10">
        <f t="shared" si="15"/>
        <v>4.2201659340556716</v>
      </c>
      <c r="AM41">
        <v>607</v>
      </c>
      <c r="AN41">
        <v>1020</v>
      </c>
      <c r="AO41">
        <v>59.509803921568626</v>
      </c>
      <c r="AP41" s="11">
        <f t="shared" si="14"/>
        <v>-0.25230749129732999</v>
      </c>
    </row>
    <row r="42" spans="1:42" ht="19" x14ac:dyDescent="0.25">
      <c r="A42" t="s">
        <v>9</v>
      </c>
      <c r="B42" s="1">
        <v>356</v>
      </c>
      <c r="C42" s="1">
        <v>585</v>
      </c>
      <c r="D42" s="1">
        <v>107</v>
      </c>
      <c r="E42" s="1">
        <v>141</v>
      </c>
      <c r="F42" s="1">
        <v>70</v>
      </c>
      <c r="G42" s="1">
        <v>102</v>
      </c>
      <c r="H42" s="1">
        <v>49</v>
      </c>
      <c r="I42" s="1">
        <v>84</v>
      </c>
      <c r="J42" s="1">
        <v>65</v>
      </c>
      <c r="K42" s="1">
        <v>108</v>
      </c>
      <c r="M42">
        <f t="shared" si="8"/>
        <v>647</v>
      </c>
      <c r="N42">
        <f t="shared" si="9"/>
        <v>1020</v>
      </c>
      <c r="O42">
        <f t="shared" si="10"/>
        <v>63.431372549019606</v>
      </c>
      <c r="Q42" t="s">
        <v>9</v>
      </c>
      <c r="R42" s="1">
        <v>302</v>
      </c>
      <c r="S42" s="1">
        <v>585</v>
      </c>
      <c r="T42" s="1">
        <v>93</v>
      </c>
      <c r="U42" s="1">
        <v>141</v>
      </c>
      <c r="V42" s="1">
        <v>58</v>
      </c>
      <c r="W42" s="1">
        <v>102</v>
      </c>
      <c r="X42" s="1">
        <v>39</v>
      </c>
      <c r="Y42" s="1">
        <v>84</v>
      </c>
      <c r="Z42">
        <v>56</v>
      </c>
      <c r="AA42" s="1">
        <v>108</v>
      </c>
      <c r="AC42">
        <f t="shared" si="11"/>
        <v>548</v>
      </c>
      <c r="AD42">
        <f t="shared" si="12"/>
        <v>1020</v>
      </c>
      <c r="AE42">
        <f t="shared" si="13"/>
        <v>53.725490196078432</v>
      </c>
      <c r="AH42" s="5" t="s">
        <v>53</v>
      </c>
      <c r="AI42">
        <v>589</v>
      </c>
      <c r="AJ42">
        <v>1020</v>
      </c>
      <c r="AK42">
        <v>57.745098039215684</v>
      </c>
      <c r="AL42" s="10">
        <f t="shared" si="15"/>
        <v>2.9402898713031149</v>
      </c>
      <c r="AM42">
        <v>561</v>
      </c>
      <c r="AN42">
        <v>1020</v>
      </c>
      <c r="AO42">
        <v>55.000000000000007</v>
      </c>
      <c r="AP42" s="11">
        <f t="shared" si="14"/>
        <v>-1.2002221164524869</v>
      </c>
    </row>
    <row r="43" spans="1:42" ht="19" x14ac:dyDescent="0.25">
      <c r="A43" t="s">
        <v>4</v>
      </c>
      <c r="B43" s="1">
        <v>400</v>
      </c>
      <c r="C43" s="1">
        <v>585</v>
      </c>
      <c r="D43" s="1">
        <v>118</v>
      </c>
      <c r="E43" s="1">
        <v>141</v>
      </c>
      <c r="F43" s="1">
        <v>77</v>
      </c>
      <c r="G43" s="1">
        <v>102</v>
      </c>
      <c r="H43" s="1">
        <v>53</v>
      </c>
      <c r="I43" s="1">
        <v>84</v>
      </c>
      <c r="J43" s="1">
        <v>71</v>
      </c>
      <c r="K43" s="1">
        <v>108</v>
      </c>
      <c r="M43">
        <f t="shared" si="8"/>
        <v>719</v>
      </c>
      <c r="N43">
        <f t="shared" si="9"/>
        <v>1020</v>
      </c>
      <c r="O43">
        <f t="shared" si="10"/>
        <v>70.490196078431381</v>
      </c>
      <c r="Q43" t="s">
        <v>4</v>
      </c>
      <c r="R43" s="1">
        <v>362</v>
      </c>
      <c r="S43" s="1">
        <v>585</v>
      </c>
      <c r="T43" s="1">
        <v>102</v>
      </c>
      <c r="U43" s="1">
        <v>141</v>
      </c>
      <c r="V43" s="1">
        <v>67</v>
      </c>
      <c r="W43" s="1">
        <v>102</v>
      </c>
      <c r="X43" s="1">
        <v>43</v>
      </c>
      <c r="Y43" s="1">
        <v>84</v>
      </c>
      <c r="Z43">
        <v>5</v>
      </c>
      <c r="AA43" s="1">
        <v>108</v>
      </c>
      <c r="AC43">
        <f t="shared" si="11"/>
        <v>579</v>
      </c>
      <c r="AD43">
        <f>S43+U43+W43</f>
        <v>828</v>
      </c>
      <c r="AE43">
        <f t="shared" si="13"/>
        <v>69.927536231884062</v>
      </c>
      <c r="AH43" s="5" t="s">
        <v>54</v>
      </c>
      <c r="AI43">
        <v>523</v>
      </c>
      <c r="AJ43">
        <v>1020</v>
      </c>
      <c r="AK43">
        <v>51.274509803921561</v>
      </c>
      <c r="AL43" s="10">
        <f t="shared" si="15"/>
        <v>2.0969006355517052</v>
      </c>
      <c r="AM43">
        <v>480</v>
      </c>
      <c r="AN43">
        <v>1020</v>
      </c>
      <c r="AO43">
        <v>47.058823529411761</v>
      </c>
      <c r="AP43" s="10">
        <f t="shared" si="14"/>
        <v>1.3308321900868947</v>
      </c>
    </row>
    <row r="48" spans="1:42" x14ac:dyDescent="0.2">
      <c r="A48" t="s">
        <v>31</v>
      </c>
    </row>
    <row r="49" spans="1:42" x14ac:dyDescent="0.2">
      <c r="A49" s="8" t="s">
        <v>19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Q49" s="8" t="s">
        <v>20</v>
      </c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H49" s="6"/>
      <c r="AI49" s="6"/>
      <c r="AJ49" s="6"/>
      <c r="AK49" s="6"/>
      <c r="AL49" s="6"/>
      <c r="AM49" s="6"/>
      <c r="AN49" s="6"/>
      <c r="AO49" s="6"/>
      <c r="AP49" s="6"/>
    </row>
    <row r="50" spans="1:42" x14ac:dyDescent="0.2">
      <c r="A50" s="2"/>
      <c r="B50" s="9" t="s">
        <v>22</v>
      </c>
      <c r="C50" s="9"/>
      <c r="D50" s="9" t="s">
        <v>23</v>
      </c>
      <c r="E50" s="9"/>
      <c r="F50" s="9" t="s">
        <v>24</v>
      </c>
      <c r="G50" s="9"/>
      <c r="H50" s="9" t="s">
        <v>25</v>
      </c>
      <c r="I50" s="9"/>
      <c r="J50" s="9" t="s">
        <v>26</v>
      </c>
      <c r="K50" s="9"/>
      <c r="L50" s="2"/>
      <c r="M50" s="2"/>
      <c r="N50" s="2"/>
      <c r="O50" s="2"/>
      <c r="Q50" s="2"/>
      <c r="R50" s="9" t="s">
        <v>22</v>
      </c>
      <c r="S50" s="9"/>
      <c r="T50" s="9" t="s">
        <v>23</v>
      </c>
      <c r="U50" s="9"/>
      <c r="V50" s="9" t="s">
        <v>24</v>
      </c>
      <c r="W50" s="9"/>
      <c r="X50" s="9" t="s">
        <v>25</v>
      </c>
      <c r="Y50" s="9"/>
      <c r="Z50" s="9" t="s">
        <v>26</v>
      </c>
      <c r="AA50" s="9"/>
      <c r="AB50" s="2"/>
      <c r="AC50" s="2"/>
      <c r="AD50" s="2"/>
      <c r="AE50" s="2"/>
      <c r="AI50" s="8" t="s">
        <v>52</v>
      </c>
      <c r="AJ50" s="8"/>
      <c r="AK50" s="8"/>
      <c r="AL50" s="8"/>
      <c r="AM50" s="7" t="s">
        <v>20</v>
      </c>
      <c r="AN50" s="7"/>
      <c r="AO50" s="7"/>
      <c r="AP50" s="7"/>
    </row>
    <row r="51" spans="1:42" x14ac:dyDescent="0.2">
      <c r="B51" t="s">
        <v>16</v>
      </c>
      <c r="C51" t="s">
        <v>17</v>
      </c>
      <c r="D51" t="s">
        <v>16</v>
      </c>
      <c r="E51" t="s">
        <v>17</v>
      </c>
      <c r="F51" t="s">
        <v>16</v>
      </c>
      <c r="G51" t="s">
        <v>17</v>
      </c>
      <c r="H51" t="s">
        <v>16</v>
      </c>
      <c r="I51" t="s">
        <v>17</v>
      </c>
      <c r="J51" t="s">
        <v>16</v>
      </c>
      <c r="K51" t="s">
        <v>17</v>
      </c>
      <c r="M51" t="s">
        <v>16</v>
      </c>
      <c r="N51" t="s">
        <v>17</v>
      </c>
      <c r="O51" t="s">
        <v>18</v>
      </c>
      <c r="R51" t="s">
        <v>16</v>
      </c>
      <c r="S51" t="s">
        <v>17</v>
      </c>
      <c r="T51" t="s">
        <v>16</v>
      </c>
      <c r="U51" t="s">
        <v>17</v>
      </c>
      <c r="V51" t="s">
        <v>16</v>
      </c>
      <c r="W51" t="s">
        <v>17</v>
      </c>
      <c r="X51" t="s">
        <v>16</v>
      </c>
      <c r="Y51" t="s">
        <v>17</v>
      </c>
      <c r="Z51" t="s">
        <v>16</v>
      </c>
      <c r="AA51" t="s">
        <v>17</v>
      </c>
      <c r="AC51" t="s">
        <v>16</v>
      </c>
      <c r="AD51" t="s">
        <v>17</v>
      </c>
      <c r="AE51" t="s">
        <v>18</v>
      </c>
      <c r="AI51" t="s">
        <v>16</v>
      </c>
      <c r="AJ51" t="s">
        <v>17</v>
      </c>
      <c r="AK51" t="s">
        <v>18</v>
      </c>
      <c r="AL51" t="s">
        <v>60</v>
      </c>
      <c r="AM51" t="s">
        <v>16</v>
      </c>
      <c r="AN51" t="s">
        <v>17</v>
      </c>
      <c r="AO51" t="s">
        <v>18</v>
      </c>
      <c r="AP51" t="s">
        <v>60</v>
      </c>
    </row>
    <row r="52" spans="1:42" ht="19" x14ac:dyDescent="0.25">
      <c r="A52" t="s">
        <v>0</v>
      </c>
      <c r="B52" s="1">
        <v>150</v>
      </c>
      <c r="C52" s="1">
        <v>208</v>
      </c>
      <c r="D52" s="1">
        <v>16</v>
      </c>
      <c r="E52" s="3">
        <v>29</v>
      </c>
      <c r="F52" s="1">
        <v>40</v>
      </c>
      <c r="G52" s="3">
        <v>50</v>
      </c>
      <c r="H52" s="1">
        <v>12</v>
      </c>
      <c r="I52" s="3">
        <v>12</v>
      </c>
      <c r="J52" s="1">
        <v>36</v>
      </c>
      <c r="K52" s="1">
        <v>48</v>
      </c>
      <c r="M52">
        <f>B52+D52+F52+H52+J52</f>
        <v>254</v>
      </c>
      <c r="N52">
        <f>C52+E52+G52+I52+K52</f>
        <v>347</v>
      </c>
      <c r="O52">
        <f>M52/N52*100</f>
        <v>73.198847262247838</v>
      </c>
      <c r="Q52" t="s">
        <v>0</v>
      </c>
      <c r="R52" s="3">
        <v>109</v>
      </c>
      <c r="S52" s="1">
        <v>208</v>
      </c>
      <c r="T52" s="1">
        <v>15</v>
      </c>
      <c r="U52" s="3">
        <v>29</v>
      </c>
      <c r="V52" s="1">
        <v>35</v>
      </c>
      <c r="W52" s="3">
        <v>50</v>
      </c>
      <c r="X52" s="1">
        <v>12</v>
      </c>
      <c r="Y52" s="3">
        <v>12</v>
      </c>
      <c r="Z52" s="3">
        <v>32</v>
      </c>
      <c r="AA52" s="1">
        <v>48</v>
      </c>
      <c r="AC52">
        <f>R52+T52+V52+X52+Z52</f>
        <v>203</v>
      </c>
      <c r="AD52">
        <f>S52+U52+W52+Y52+AA52</f>
        <v>347</v>
      </c>
      <c r="AE52">
        <f>AC52/AD52*100</f>
        <v>58.501440922190206</v>
      </c>
      <c r="AH52" s="5" t="s">
        <v>51</v>
      </c>
      <c r="AI52">
        <v>254</v>
      </c>
      <c r="AJ52">
        <v>347</v>
      </c>
      <c r="AK52">
        <v>73.198847262247838</v>
      </c>
      <c r="AL52" s="10">
        <f>AY4-AK52</f>
        <v>4.3892917740606663E-3</v>
      </c>
      <c r="AM52">
        <v>203</v>
      </c>
      <c r="AN52">
        <v>347</v>
      </c>
      <c r="AO52">
        <v>58.501440922190206</v>
      </c>
      <c r="AP52" s="10">
        <f>AZ4-AO52</f>
        <v>5.8012720716222717</v>
      </c>
    </row>
    <row r="53" spans="1:42" ht="19" x14ac:dyDescent="0.25">
      <c r="A53" t="s">
        <v>11</v>
      </c>
      <c r="B53" s="1">
        <v>210</v>
      </c>
      <c r="C53" s="1">
        <v>624</v>
      </c>
      <c r="D53" s="1">
        <v>25</v>
      </c>
      <c r="E53" s="1">
        <v>87</v>
      </c>
      <c r="F53" s="1">
        <v>65</v>
      </c>
      <c r="G53" s="1">
        <v>150</v>
      </c>
      <c r="H53" s="1">
        <v>14</v>
      </c>
      <c r="I53" s="1">
        <v>36</v>
      </c>
      <c r="J53" s="1">
        <v>74</v>
      </c>
      <c r="K53" s="1">
        <v>144</v>
      </c>
      <c r="M53">
        <f t="shared" ref="M53:M67" si="16">B53+D53+F53+H53+J53</f>
        <v>388</v>
      </c>
      <c r="N53">
        <f t="shared" ref="N53:N67" si="17">C53+E53+G53+I53+K53</f>
        <v>1041</v>
      </c>
      <c r="O53">
        <f t="shared" ref="O53:O67" si="18">M53/N53*100</f>
        <v>37.271853986551392</v>
      </c>
      <c r="Q53" t="s">
        <v>11</v>
      </c>
      <c r="R53" s="1">
        <v>92</v>
      </c>
      <c r="S53" s="1">
        <v>624</v>
      </c>
      <c r="T53" s="1">
        <v>24</v>
      </c>
      <c r="U53" s="1">
        <v>87</v>
      </c>
      <c r="V53" s="1">
        <v>60</v>
      </c>
      <c r="W53" s="1">
        <v>150</v>
      </c>
      <c r="X53" s="1">
        <v>14</v>
      </c>
      <c r="Y53" s="1">
        <v>36</v>
      </c>
      <c r="Z53" s="3">
        <v>57</v>
      </c>
      <c r="AA53" s="1">
        <v>144</v>
      </c>
      <c r="AC53">
        <f t="shared" ref="AC53:AC67" si="19">R53+T53+V53+X53+Z53</f>
        <v>247</v>
      </c>
      <c r="AD53">
        <f t="shared" ref="AD53:AD66" si="20">S53+U53+W53+Y53+AA53</f>
        <v>1041</v>
      </c>
      <c r="AE53">
        <f t="shared" ref="AE53:AE67" si="21">AC53/AD53*100</f>
        <v>23.727185398655141</v>
      </c>
      <c r="AH53" s="5" t="s">
        <v>38</v>
      </c>
      <c r="AI53">
        <v>659</v>
      </c>
      <c r="AJ53">
        <v>1041</v>
      </c>
      <c r="AK53">
        <v>63.304514889529294</v>
      </c>
      <c r="AL53" s="10">
        <f t="shared" ref="AL53:AL67" si="22">AY5-AK53</f>
        <v>3.5842682296203137</v>
      </c>
      <c r="AM53">
        <v>516</v>
      </c>
      <c r="AN53">
        <v>1041</v>
      </c>
      <c r="AO53">
        <v>49.56772334293948</v>
      </c>
      <c r="AP53" s="10">
        <f t="shared" ref="AP53:AP67" si="23">AZ5-AO53</f>
        <v>7.1988957273445138</v>
      </c>
    </row>
    <row r="54" spans="1:42" ht="19" x14ac:dyDescent="0.25">
      <c r="A54" t="s">
        <v>6</v>
      </c>
      <c r="B54" s="1">
        <v>236</v>
      </c>
      <c r="C54" s="1">
        <v>624</v>
      </c>
      <c r="D54" s="1">
        <v>34</v>
      </c>
      <c r="E54" s="1">
        <v>87</v>
      </c>
      <c r="F54" s="1">
        <v>77</v>
      </c>
      <c r="G54" s="1">
        <v>150</v>
      </c>
      <c r="H54" s="1">
        <v>23</v>
      </c>
      <c r="I54" s="1">
        <v>36</v>
      </c>
      <c r="J54" s="1">
        <v>86</v>
      </c>
      <c r="K54" s="1">
        <v>144</v>
      </c>
      <c r="M54">
        <f t="shared" si="16"/>
        <v>456</v>
      </c>
      <c r="N54">
        <f t="shared" si="17"/>
        <v>1041</v>
      </c>
      <c r="O54">
        <f t="shared" si="18"/>
        <v>43.804034582132566</v>
      </c>
      <c r="Q54" t="s">
        <v>6</v>
      </c>
      <c r="R54" s="1">
        <v>176</v>
      </c>
      <c r="S54" s="1">
        <v>624</v>
      </c>
      <c r="T54" s="1">
        <v>33</v>
      </c>
      <c r="U54" s="1">
        <v>87</v>
      </c>
      <c r="V54" s="1">
        <v>72</v>
      </c>
      <c r="W54" s="1">
        <v>150</v>
      </c>
      <c r="X54" s="1">
        <v>21</v>
      </c>
      <c r="Y54" s="1">
        <v>36</v>
      </c>
      <c r="Z54" s="3">
        <v>76</v>
      </c>
      <c r="AA54" s="1">
        <v>144</v>
      </c>
      <c r="AC54">
        <f t="shared" si="19"/>
        <v>378</v>
      </c>
      <c r="AD54">
        <f t="shared" si="20"/>
        <v>1041</v>
      </c>
      <c r="AE54">
        <f t="shared" si="21"/>
        <v>36.311239193083573</v>
      </c>
      <c r="AH54" s="5" t="s">
        <v>39</v>
      </c>
      <c r="AI54">
        <v>456</v>
      </c>
      <c r="AJ54">
        <v>1041</v>
      </c>
      <c r="AK54">
        <v>43.804034582132566</v>
      </c>
      <c r="AL54" s="10">
        <f t="shared" si="22"/>
        <v>8.187080759768115</v>
      </c>
      <c r="AM54">
        <v>378</v>
      </c>
      <c r="AN54">
        <v>1041</v>
      </c>
      <c r="AO54">
        <v>36.311239193083573</v>
      </c>
      <c r="AP54" s="10">
        <f t="shared" si="23"/>
        <v>5.9860795440257419</v>
      </c>
    </row>
    <row r="55" spans="1:42" ht="19" x14ac:dyDescent="0.25">
      <c r="A55" t="s">
        <v>1</v>
      </c>
      <c r="B55" s="1">
        <v>367</v>
      </c>
      <c r="C55" s="1">
        <v>624</v>
      </c>
      <c r="D55" s="1">
        <v>51</v>
      </c>
      <c r="E55" s="1">
        <v>87</v>
      </c>
      <c r="F55" s="1">
        <v>108</v>
      </c>
      <c r="G55" s="1">
        <v>150</v>
      </c>
      <c r="H55" s="1">
        <v>33</v>
      </c>
      <c r="I55" s="1">
        <v>36</v>
      </c>
      <c r="J55" s="1">
        <v>100</v>
      </c>
      <c r="K55" s="1">
        <v>144</v>
      </c>
      <c r="M55">
        <f t="shared" si="16"/>
        <v>659</v>
      </c>
      <c r="N55">
        <f t="shared" si="17"/>
        <v>1041</v>
      </c>
      <c r="O55">
        <f t="shared" si="18"/>
        <v>63.304514889529294</v>
      </c>
      <c r="Q55" t="s">
        <v>1</v>
      </c>
      <c r="R55" s="1">
        <v>263</v>
      </c>
      <c r="S55" s="1">
        <v>624</v>
      </c>
      <c r="T55" s="1">
        <v>39</v>
      </c>
      <c r="U55" s="1">
        <v>87</v>
      </c>
      <c r="V55" s="1">
        <v>96</v>
      </c>
      <c r="W55" s="1">
        <v>150</v>
      </c>
      <c r="X55" s="1">
        <v>33</v>
      </c>
      <c r="Y55" s="1">
        <v>36</v>
      </c>
      <c r="Z55" s="3">
        <v>85</v>
      </c>
      <c r="AA55" s="1">
        <v>144</v>
      </c>
      <c r="AC55">
        <f t="shared" si="19"/>
        <v>516</v>
      </c>
      <c r="AD55">
        <f t="shared" si="20"/>
        <v>1041</v>
      </c>
      <c r="AE55">
        <f t="shared" si="21"/>
        <v>49.56772334293948</v>
      </c>
      <c r="AH55" s="5" t="s">
        <v>40</v>
      </c>
      <c r="AI55">
        <v>388</v>
      </c>
      <c r="AJ55">
        <v>1041</v>
      </c>
      <c r="AK55">
        <v>37.271853986551392</v>
      </c>
      <c r="AL55" s="10">
        <f t="shared" si="22"/>
        <v>2.7408383821619182</v>
      </c>
      <c r="AM55">
        <v>247</v>
      </c>
      <c r="AN55">
        <v>1041</v>
      </c>
      <c r="AO55">
        <v>23.727185398655141</v>
      </c>
      <c r="AP55" s="10">
        <f t="shared" si="23"/>
        <v>6.263293814293128</v>
      </c>
    </row>
    <row r="56" spans="1:42" ht="19" x14ac:dyDescent="0.25">
      <c r="A56" t="s">
        <v>27</v>
      </c>
      <c r="B56" s="1">
        <v>410</v>
      </c>
      <c r="C56" s="1">
        <v>624</v>
      </c>
      <c r="D56" s="1">
        <v>55</v>
      </c>
      <c r="E56" s="1">
        <v>87</v>
      </c>
      <c r="F56" s="1">
        <v>116</v>
      </c>
      <c r="G56" s="1">
        <v>150</v>
      </c>
      <c r="H56" s="1">
        <v>36</v>
      </c>
      <c r="I56" s="1">
        <v>36</v>
      </c>
      <c r="J56" s="1">
        <v>108</v>
      </c>
      <c r="K56" s="1">
        <v>144</v>
      </c>
      <c r="M56">
        <f t="shared" si="16"/>
        <v>725</v>
      </c>
      <c r="N56">
        <f t="shared" si="17"/>
        <v>1041</v>
      </c>
      <c r="O56">
        <f t="shared" si="18"/>
        <v>69.644572526416908</v>
      </c>
      <c r="Q56" t="s">
        <v>27</v>
      </c>
      <c r="R56" s="1">
        <v>296</v>
      </c>
      <c r="S56" s="1">
        <v>624</v>
      </c>
      <c r="T56" s="1">
        <v>48</v>
      </c>
      <c r="U56" s="1">
        <v>87</v>
      </c>
      <c r="V56" s="1">
        <v>108</v>
      </c>
      <c r="W56" s="1">
        <v>150</v>
      </c>
      <c r="X56" s="1">
        <v>35</v>
      </c>
      <c r="Y56" s="1">
        <v>36</v>
      </c>
      <c r="Z56" s="3">
        <v>99</v>
      </c>
      <c r="AA56" s="1">
        <v>144</v>
      </c>
      <c r="AC56">
        <f t="shared" si="19"/>
        <v>586</v>
      </c>
      <c r="AD56">
        <f t="shared" si="20"/>
        <v>1041</v>
      </c>
      <c r="AE56">
        <f t="shared" si="21"/>
        <v>56.292026897214221</v>
      </c>
      <c r="AH56" s="5" t="s">
        <v>41</v>
      </c>
      <c r="AI56">
        <v>717</v>
      </c>
      <c r="AJ56">
        <v>1041</v>
      </c>
      <c r="AK56">
        <v>68.876080691642656</v>
      </c>
      <c r="AL56" s="10">
        <f t="shared" si="22"/>
        <v>1.265121910292919</v>
      </c>
      <c r="AM56">
        <v>558</v>
      </c>
      <c r="AN56">
        <v>861</v>
      </c>
      <c r="AO56">
        <v>64.808362369337985</v>
      </c>
      <c r="AP56" s="11">
        <f t="shared" si="23"/>
        <v>-3.1393158835375701</v>
      </c>
    </row>
    <row r="57" spans="1:42" ht="19" x14ac:dyDescent="0.25">
      <c r="A57" t="s">
        <v>7</v>
      </c>
      <c r="B57" s="1">
        <v>430</v>
      </c>
      <c r="C57" s="1">
        <v>624</v>
      </c>
      <c r="D57" s="1">
        <v>53</v>
      </c>
      <c r="E57" s="1">
        <v>87</v>
      </c>
      <c r="F57" s="1">
        <v>115</v>
      </c>
      <c r="G57" s="1">
        <v>150</v>
      </c>
      <c r="H57" s="1">
        <v>36</v>
      </c>
      <c r="I57" s="1">
        <v>36</v>
      </c>
      <c r="J57" s="1">
        <v>109</v>
      </c>
      <c r="K57" s="1">
        <v>144</v>
      </c>
      <c r="M57">
        <f t="shared" si="16"/>
        <v>743</v>
      </c>
      <c r="N57">
        <f t="shared" si="17"/>
        <v>1041</v>
      </c>
      <c r="O57">
        <f t="shared" si="18"/>
        <v>71.373679154658987</v>
      </c>
      <c r="Q57" t="s">
        <v>7</v>
      </c>
      <c r="R57" s="1">
        <v>298</v>
      </c>
      <c r="S57" s="1">
        <v>624</v>
      </c>
      <c r="T57" s="1">
        <v>48</v>
      </c>
      <c r="U57" s="1">
        <v>87</v>
      </c>
      <c r="V57" s="1">
        <v>103</v>
      </c>
      <c r="W57" s="1">
        <v>150</v>
      </c>
      <c r="X57" s="1">
        <v>35</v>
      </c>
      <c r="Y57" s="1">
        <v>36</v>
      </c>
      <c r="Z57" s="3">
        <v>102</v>
      </c>
      <c r="AA57" s="1">
        <v>144</v>
      </c>
      <c r="AC57">
        <f t="shared" si="19"/>
        <v>586</v>
      </c>
      <c r="AD57">
        <f t="shared" si="20"/>
        <v>1041</v>
      </c>
      <c r="AE57">
        <f t="shared" si="21"/>
        <v>56.292026897214221</v>
      </c>
      <c r="AH57" s="5" t="s">
        <v>42</v>
      </c>
      <c r="AI57">
        <v>655</v>
      </c>
      <c r="AJ57">
        <v>1041</v>
      </c>
      <c r="AK57">
        <v>62.920268972142168</v>
      </c>
      <c r="AL57" s="10">
        <f t="shared" si="22"/>
        <v>3.5084157811499068</v>
      </c>
      <c r="AM57">
        <v>480</v>
      </c>
      <c r="AN57">
        <v>1041</v>
      </c>
      <c r="AO57">
        <v>46.10951008645533</v>
      </c>
      <c r="AP57" s="10">
        <f t="shared" si="23"/>
        <v>7.7537296406587473</v>
      </c>
    </row>
    <row r="58" spans="1:42" ht="19" x14ac:dyDescent="0.25">
      <c r="A58" t="s">
        <v>28</v>
      </c>
      <c r="B58" s="1">
        <v>424</v>
      </c>
      <c r="C58" s="1">
        <v>624</v>
      </c>
      <c r="D58" s="1">
        <v>56</v>
      </c>
      <c r="E58" s="1">
        <v>87</v>
      </c>
      <c r="F58" s="1">
        <v>118</v>
      </c>
      <c r="G58" s="1">
        <v>150</v>
      </c>
      <c r="H58" s="1">
        <v>35</v>
      </c>
      <c r="I58" s="1">
        <v>36</v>
      </c>
      <c r="J58" s="1">
        <v>112</v>
      </c>
      <c r="K58" s="1">
        <v>144</v>
      </c>
      <c r="M58">
        <f t="shared" si="16"/>
        <v>745</v>
      </c>
      <c r="N58">
        <f t="shared" si="17"/>
        <v>1041</v>
      </c>
      <c r="O58">
        <f t="shared" si="18"/>
        <v>71.565802113352547</v>
      </c>
      <c r="Q58" t="s">
        <v>28</v>
      </c>
      <c r="R58" s="1">
        <v>336</v>
      </c>
      <c r="S58" s="1">
        <v>624</v>
      </c>
      <c r="T58" s="1">
        <v>47</v>
      </c>
      <c r="U58" s="1">
        <v>87</v>
      </c>
      <c r="V58" s="1">
        <v>105</v>
      </c>
      <c r="W58" s="1">
        <v>150</v>
      </c>
      <c r="X58" s="1">
        <v>36</v>
      </c>
      <c r="Y58" s="1">
        <v>36</v>
      </c>
      <c r="Z58" s="3">
        <v>101</v>
      </c>
      <c r="AA58" s="1">
        <v>144</v>
      </c>
      <c r="AC58">
        <f t="shared" si="19"/>
        <v>625</v>
      </c>
      <c r="AD58">
        <f t="shared" si="20"/>
        <v>1041</v>
      </c>
      <c r="AE58">
        <f t="shared" si="21"/>
        <v>60.038424591738718</v>
      </c>
      <c r="AH58" s="5" t="s">
        <v>43</v>
      </c>
      <c r="AI58">
        <v>596</v>
      </c>
      <c r="AJ58">
        <v>1041</v>
      </c>
      <c r="AK58">
        <v>57.25264169068204</v>
      </c>
      <c r="AL58" s="10">
        <f t="shared" si="22"/>
        <v>3.9563064292608487</v>
      </c>
      <c r="AM58">
        <v>373</v>
      </c>
      <c r="AN58">
        <v>1041</v>
      </c>
      <c r="AO58">
        <v>35.83093179634966</v>
      </c>
      <c r="AP58" s="10">
        <f t="shared" si="23"/>
        <v>8.1481257952733799</v>
      </c>
    </row>
    <row r="59" spans="1:42" ht="19" x14ac:dyDescent="0.25">
      <c r="A59" t="s">
        <v>13</v>
      </c>
      <c r="B59" s="1">
        <v>363</v>
      </c>
      <c r="C59" s="1">
        <v>624</v>
      </c>
      <c r="D59" s="1">
        <v>50</v>
      </c>
      <c r="E59" s="1">
        <v>87</v>
      </c>
      <c r="F59" s="1">
        <v>113</v>
      </c>
      <c r="G59" s="1">
        <v>150</v>
      </c>
      <c r="H59" s="1">
        <v>25</v>
      </c>
      <c r="I59" s="1">
        <v>36</v>
      </c>
      <c r="J59" s="1">
        <v>105</v>
      </c>
      <c r="K59" s="1">
        <v>144</v>
      </c>
      <c r="M59">
        <f t="shared" si="16"/>
        <v>656</v>
      </c>
      <c r="N59">
        <f t="shared" si="17"/>
        <v>1041</v>
      </c>
      <c r="O59">
        <f t="shared" si="18"/>
        <v>63.016330451488955</v>
      </c>
      <c r="Q59" t="s">
        <v>13</v>
      </c>
      <c r="R59" s="1">
        <v>288</v>
      </c>
      <c r="S59" s="1">
        <v>624</v>
      </c>
      <c r="T59" s="1">
        <v>43</v>
      </c>
      <c r="U59" s="1">
        <v>87</v>
      </c>
      <c r="V59" s="1">
        <v>105</v>
      </c>
      <c r="W59" s="1">
        <v>150</v>
      </c>
      <c r="X59" s="1">
        <v>25</v>
      </c>
      <c r="Y59" s="1">
        <v>36</v>
      </c>
      <c r="Z59" s="3">
        <v>97</v>
      </c>
      <c r="AA59" s="1">
        <v>144</v>
      </c>
      <c r="AC59">
        <f t="shared" si="19"/>
        <v>558</v>
      </c>
      <c r="AD59">
        <f t="shared" si="20"/>
        <v>1041</v>
      </c>
      <c r="AE59">
        <f t="shared" si="21"/>
        <v>53.602305475504316</v>
      </c>
      <c r="AH59" s="5" t="s">
        <v>44</v>
      </c>
      <c r="AI59">
        <v>685</v>
      </c>
      <c r="AJ59">
        <v>1041</v>
      </c>
      <c r="AK59">
        <v>65.802113352545632</v>
      </c>
      <c r="AL59" s="10">
        <f>AY11-AK59</f>
        <v>5.0689004504053514</v>
      </c>
      <c r="AM59">
        <v>584</v>
      </c>
      <c r="AN59">
        <v>1041</v>
      </c>
      <c r="AO59">
        <v>56.099903938520654</v>
      </c>
      <c r="AP59" s="10">
        <f t="shared" si="23"/>
        <v>7.4254014716015107</v>
      </c>
    </row>
    <row r="60" spans="1:42" ht="19" x14ac:dyDescent="0.25">
      <c r="A60" t="s">
        <v>8</v>
      </c>
      <c r="B60" s="1">
        <v>372</v>
      </c>
      <c r="C60" s="1">
        <v>624</v>
      </c>
      <c r="D60" s="1">
        <v>46</v>
      </c>
      <c r="E60" s="1">
        <v>87</v>
      </c>
      <c r="F60" s="1">
        <v>115</v>
      </c>
      <c r="G60" s="1">
        <v>150</v>
      </c>
      <c r="H60" s="1">
        <v>27</v>
      </c>
      <c r="I60" s="1">
        <v>36</v>
      </c>
      <c r="J60" s="1">
        <v>106</v>
      </c>
      <c r="K60" s="1">
        <v>144</v>
      </c>
      <c r="M60">
        <f t="shared" si="16"/>
        <v>666</v>
      </c>
      <c r="N60">
        <f t="shared" si="17"/>
        <v>1041</v>
      </c>
      <c r="O60">
        <f t="shared" si="18"/>
        <v>63.976945244956774</v>
      </c>
      <c r="Q60" t="s">
        <v>8</v>
      </c>
      <c r="R60" s="1">
        <v>304</v>
      </c>
      <c r="S60" s="1">
        <v>624</v>
      </c>
      <c r="T60" s="1">
        <v>41</v>
      </c>
      <c r="U60" s="1">
        <v>87</v>
      </c>
      <c r="V60" s="1">
        <v>103</v>
      </c>
      <c r="W60" s="1">
        <v>150</v>
      </c>
      <c r="X60" s="1">
        <v>26</v>
      </c>
      <c r="Y60" s="1">
        <v>36</v>
      </c>
      <c r="Z60" s="3">
        <v>92</v>
      </c>
      <c r="AA60" s="1">
        <v>144</v>
      </c>
      <c r="AC60">
        <f t="shared" si="19"/>
        <v>566</v>
      </c>
      <c r="AD60">
        <f t="shared" si="20"/>
        <v>1041</v>
      </c>
      <c r="AE60">
        <f t="shared" si="21"/>
        <v>54.370797310278576</v>
      </c>
      <c r="AH60" s="5" t="s">
        <v>45</v>
      </c>
      <c r="AI60">
        <v>666</v>
      </c>
      <c r="AJ60">
        <v>1041</v>
      </c>
      <c r="AK60">
        <v>63.976945244956774</v>
      </c>
      <c r="AL60" s="10">
        <f t="shared" si="22"/>
        <v>3.6099181534249496</v>
      </c>
      <c r="AM60">
        <v>566</v>
      </c>
      <c r="AN60">
        <v>1041</v>
      </c>
      <c r="AO60">
        <v>54.370797310278576</v>
      </c>
      <c r="AP60" s="10">
        <f t="shared" si="23"/>
        <v>6.7746889660977487</v>
      </c>
    </row>
    <row r="61" spans="1:42" ht="19" x14ac:dyDescent="0.25">
      <c r="A61" t="s">
        <v>3</v>
      </c>
      <c r="B61" s="1">
        <v>378</v>
      </c>
      <c r="C61" s="1">
        <v>624</v>
      </c>
      <c r="D61" s="1">
        <v>50</v>
      </c>
      <c r="E61" s="1">
        <v>87</v>
      </c>
      <c r="F61" s="1">
        <v>116</v>
      </c>
      <c r="G61" s="1">
        <v>150</v>
      </c>
      <c r="H61" s="1">
        <v>33</v>
      </c>
      <c r="I61" s="1">
        <v>36</v>
      </c>
      <c r="J61" s="1">
        <v>108</v>
      </c>
      <c r="K61" s="1">
        <v>144</v>
      </c>
      <c r="M61">
        <f t="shared" si="16"/>
        <v>685</v>
      </c>
      <c r="N61">
        <f t="shared" si="17"/>
        <v>1041</v>
      </c>
      <c r="O61">
        <f t="shared" si="18"/>
        <v>65.802113352545632</v>
      </c>
      <c r="Q61" t="s">
        <v>3</v>
      </c>
      <c r="R61" s="1">
        <v>311</v>
      </c>
      <c r="S61" s="1">
        <v>624</v>
      </c>
      <c r="T61" s="1">
        <v>44</v>
      </c>
      <c r="U61" s="1">
        <v>87</v>
      </c>
      <c r="V61" s="1">
        <v>104</v>
      </c>
      <c r="W61" s="1">
        <v>150</v>
      </c>
      <c r="X61" s="1">
        <v>32</v>
      </c>
      <c r="Y61" s="1">
        <v>36</v>
      </c>
      <c r="Z61" s="3">
        <v>93</v>
      </c>
      <c r="AA61" s="1">
        <v>144</v>
      </c>
      <c r="AC61">
        <f t="shared" si="19"/>
        <v>584</v>
      </c>
      <c r="AD61">
        <f t="shared" si="20"/>
        <v>1041</v>
      </c>
      <c r="AE61">
        <f t="shared" si="21"/>
        <v>56.099903938520654</v>
      </c>
      <c r="AH61" s="5" t="s">
        <v>46</v>
      </c>
      <c r="AI61">
        <v>656</v>
      </c>
      <c r="AJ61">
        <v>1041</v>
      </c>
      <c r="AK61">
        <v>63.016330451488955</v>
      </c>
      <c r="AL61" s="10">
        <f t="shared" si="22"/>
        <v>2.8094667879208401</v>
      </c>
      <c r="AM61">
        <v>558</v>
      </c>
      <c r="AN61">
        <v>1041</v>
      </c>
      <c r="AO61">
        <v>53.602305475504316</v>
      </c>
      <c r="AP61" s="10">
        <f t="shared" si="23"/>
        <v>6.0835583988412267</v>
      </c>
    </row>
    <row r="62" spans="1:42" ht="19" x14ac:dyDescent="0.25">
      <c r="A62" t="s">
        <v>15</v>
      </c>
      <c r="B62" s="1">
        <v>288</v>
      </c>
      <c r="C62" s="1">
        <v>624</v>
      </c>
      <c r="D62" s="1">
        <v>45</v>
      </c>
      <c r="E62" s="1">
        <v>87</v>
      </c>
      <c r="F62" s="1">
        <v>99</v>
      </c>
      <c r="G62" s="1">
        <v>150</v>
      </c>
      <c r="H62" s="1">
        <v>33</v>
      </c>
      <c r="I62" s="1">
        <v>36</v>
      </c>
      <c r="J62" s="1">
        <v>78</v>
      </c>
      <c r="K62" s="1">
        <v>144</v>
      </c>
      <c r="M62">
        <f t="shared" si="16"/>
        <v>543</v>
      </c>
      <c r="N62">
        <f t="shared" si="17"/>
        <v>1041</v>
      </c>
      <c r="O62">
        <f t="shared" si="18"/>
        <v>52.161383285302598</v>
      </c>
      <c r="Q62" t="s">
        <v>15</v>
      </c>
      <c r="R62" s="1">
        <v>213</v>
      </c>
      <c r="S62" s="1">
        <v>624</v>
      </c>
      <c r="T62" s="1">
        <v>39</v>
      </c>
      <c r="U62" s="1">
        <v>87</v>
      </c>
      <c r="V62" s="1">
        <v>90</v>
      </c>
      <c r="W62" s="1">
        <v>150</v>
      </c>
      <c r="X62" s="1">
        <v>32</v>
      </c>
      <c r="Y62" s="1">
        <v>36</v>
      </c>
      <c r="Z62" s="3">
        <v>74</v>
      </c>
      <c r="AA62" s="1">
        <v>144</v>
      </c>
      <c r="AC62">
        <f t="shared" si="19"/>
        <v>448</v>
      </c>
      <c r="AD62">
        <f t="shared" si="20"/>
        <v>1041</v>
      </c>
      <c r="AE62">
        <f t="shared" si="21"/>
        <v>43.035542747358306</v>
      </c>
      <c r="AH62" s="5" t="s">
        <v>47</v>
      </c>
      <c r="AI62">
        <v>745</v>
      </c>
      <c r="AJ62">
        <v>1041</v>
      </c>
      <c r="AK62">
        <v>71.565802113352547</v>
      </c>
      <c r="AL62" s="10">
        <f>AY14-AK62</f>
        <v>2.7321512421924297</v>
      </c>
      <c r="AM62">
        <v>625</v>
      </c>
      <c r="AN62">
        <v>1041</v>
      </c>
      <c r="AO62">
        <v>60.038424591738718</v>
      </c>
      <c r="AP62" s="10">
        <f t="shared" si="23"/>
        <v>5.152754212005533</v>
      </c>
    </row>
    <row r="63" spans="1:42" ht="19" x14ac:dyDescent="0.25">
      <c r="A63" t="s">
        <v>10</v>
      </c>
      <c r="B63" s="1">
        <v>364</v>
      </c>
      <c r="C63" s="1">
        <v>624</v>
      </c>
      <c r="D63" s="1">
        <v>38</v>
      </c>
      <c r="E63" s="1">
        <v>87</v>
      </c>
      <c r="F63" s="1">
        <v>100</v>
      </c>
      <c r="G63" s="1">
        <v>150</v>
      </c>
      <c r="H63" s="1">
        <v>29</v>
      </c>
      <c r="I63" s="1">
        <v>36</v>
      </c>
      <c r="J63" s="1">
        <v>96</v>
      </c>
      <c r="K63" s="1">
        <v>144</v>
      </c>
      <c r="M63">
        <f t="shared" si="16"/>
        <v>627</v>
      </c>
      <c r="N63">
        <f t="shared" si="17"/>
        <v>1041</v>
      </c>
      <c r="O63">
        <f t="shared" si="18"/>
        <v>60.230547550432277</v>
      </c>
      <c r="Q63" t="s">
        <v>10</v>
      </c>
      <c r="R63" s="1">
        <v>293</v>
      </c>
      <c r="S63" s="1">
        <v>624</v>
      </c>
      <c r="T63" s="1">
        <v>33</v>
      </c>
      <c r="U63" s="1">
        <v>87</v>
      </c>
      <c r="V63" s="1">
        <v>88</v>
      </c>
      <c r="W63" s="1">
        <v>150</v>
      </c>
      <c r="X63" s="1">
        <v>30</v>
      </c>
      <c r="Y63" s="1">
        <v>36</v>
      </c>
      <c r="Z63" s="3">
        <v>76</v>
      </c>
      <c r="AA63" s="1">
        <v>144</v>
      </c>
      <c r="AC63">
        <f t="shared" si="19"/>
        <v>520</v>
      </c>
      <c r="AD63">
        <f t="shared" si="20"/>
        <v>1041</v>
      </c>
      <c r="AE63">
        <f t="shared" si="21"/>
        <v>49.951969260326607</v>
      </c>
      <c r="AH63" s="5" t="s">
        <v>48</v>
      </c>
      <c r="AI63">
        <v>743</v>
      </c>
      <c r="AJ63">
        <v>1041</v>
      </c>
      <c r="AK63">
        <v>71.373679154658987</v>
      </c>
      <c r="AL63" s="10">
        <f>AY15-AK63</f>
        <v>2.0675393127374804</v>
      </c>
      <c r="AM63">
        <v>586</v>
      </c>
      <c r="AN63">
        <v>1041</v>
      </c>
      <c r="AO63">
        <v>56.292026897214221</v>
      </c>
      <c r="AP63" s="10">
        <f t="shared" si="23"/>
        <v>7.7727041832236594</v>
      </c>
    </row>
    <row r="64" spans="1:42" ht="19" x14ac:dyDescent="0.25">
      <c r="A64" t="s">
        <v>5</v>
      </c>
      <c r="B64" s="1">
        <v>394</v>
      </c>
      <c r="C64" s="1">
        <v>624</v>
      </c>
      <c r="D64" s="1">
        <v>56</v>
      </c>
      <c r="E64" s="1">
        <v>87</v>
      </c>
      <c r="F64" s="1">
        <v>108</v>
      </c>
      <c r="G64" s="1">
        <v>150</v>
      </c>
      <c r="H64" s="1">
        <v>36</v>
      </c>
      <c r="I64" s="1">
        <v>36</v>
      </c>
      <c r="J64" s="1">
        <v>104</v>
      </c>
      <c r="K64" s="1">
        <v>144</v>
      </c>
      <c r="M64">
        <f t="shared" si="16"/>
        <v>698</v>
      </c>
      <c r="N64">
        <f t="shared" si="17"/>
        <v>1041</v>
      </c>
      <c r="O64">
        <f t="shared" si="18"/>
        <v>67.050912584053791</v>
      </c>
      <c r="Q64" t="s">
        <v>5</v>
      </c>
      <c r="R64" s="1">
        <v>315</v>
      </c>
      <c r="S64" s="1">
        <v>624</v>
      </c>
      <c r="T64" s="1">
        <v>45</v>
      </c>
      <c r="U64" s="1">
        <v>87</v>
      </c>
      <c r="V64" s="1">
        <v>99</v>
      </c>
      <c r="W64" s="1">
        <v>150</v>
      </c>
      <c r="X64" s="1">
        <v>36</v>
      </c>
      <c r="Y64" s="1">
        <v>36</v>
      </c>
      <c r="Z64" s="3">
        <v>93</v>
      </c>
      <c r="AA64" s="1">
        <v>144</v>
      </c>
      <c r="AC64">
        <f t="shared" si="19"/>
        <v>588</v>
      </c>
      <c r="AD64">
        <f t="shared" si="20"/>
        <v>1041</v>
      </c>
      <c r="AE64">
        <f t="shared" si="21"/>
        <v>56.484149855907781</v>
      </c>
      <c r="AH64" s="5" t="s">
        <v>49</v>
      </c>
      <c r="AI64">
        <v>725</v>
      </c>
      <c r="AJ64">
        <v>1041</v>
      </c>
      <c r="AK64">
        <v>69.644572526416908</v>
      </c>
      <c r="AL64" s="10">
        <f>AY16-AK64</f>
        <v>3.6538567929548122</v>
      </c>
      <c r="AM64">
        <v>586</v>
      </c>
      <c r="AN64">
        <v>1041</v>
      </c>
      <c r="AO64">
        <v>56.292026897214221</v>
      </c>
      <c r="AP64" s="10">
        <f t="shared" si="23"/>
        <v>7.8996278703567739</v>
      </c>
    </row>
    <row r="65" spans="1:44" ht="19" x14ac:dyDescent="0.25">
      <c r="A65" t="s">
        <v>14</v>
      </c>
      <c r="B65" s="1">
        <v>337</v>
      </c>
      <c r="C65" s="1">
        <v>624</v>
      </c>
      <c r="D65" s="1">
        <v>38</v>
      </c>
      <c r="E65" s="1">
        <v>87</v>
      </c>
      <c r="F65" s="1">
        <v>101</v>
      </c>
      <c r="G65" s="1">
        <v>150</v>
      </c>
      <c r="H65" s="1">
        <v>28</v>
      </c>
      <c r="I65" s="1">
        <v>36</v>
      </c>
      <c r="J65" s="1">
        <v>92</v>
      </c>
      <c r="K65" s="1">
        <v>144</v>
      </c>
      <c r="M65">
        <f t="shared" si="16"/>
        <v>596</v>
      </c>
      <c r="N65">
        <f t="shared" si="17"/>
        <v>1041</v>
      </c>
      <c r="O65">
        <f t="shared" si="18"/>
        <v>57.25264169068204</v>
      </c>
      <c r="Q65" t="s">
        <v>14</v>
      </c>
      <c r="R65" s="1">
        <v>202</v>
      </c>
      <c r="S65" s="1">
        <v>624</v>
      </c>
      <c r="T65" s="1">
        <v>32</v>
      </c>
      <c r="U65" s="1">
        <v>87</v>
      </c>
      <c r="V65" s="1">
        <v>71</v>
      </c>
      <c r="W65" s="1">
        <v>150</v>
      </c>
      <c r="X65" s="1">
        <v>16</v>
      </c>
      <c r="Y65" s="1">
        <v>36</v>
      </c>
      <c r="Z65" s="3">
        <v>52</v>
      </c>
      <c r="AA65" s="1">
        <v>144</v>
      </c>
      <c r="AC65">
        <f t="shared" si="19"/>
        <v>373</v>
      </c>
      <c r="AD65">
        <f t="shared" si="20"/>
        <v>1041</v>
      </c>
      <c r="AE65">
        <f t="shared" si="21"/>
        <v>35.83093179634966</v>
      </c>
      <c r="AH65" s="5" t="s">
        <v>50</v>
      </c>
      <c r="AI65">
        <v>698</v>
      </c>
      <c r="AJ65">
        <v>1041</v>
      </c>
      <c r="AK65">
        <v>67.050912584053791</v>
      </c>
      <c r="AL65" s="10">
        <f>AY17-AK65</f>
        <v>1.2390604903842473E-2</v>
      </c>
      <c r="AM65">
        <v>588</v>
      </c>
      <c r="AN65">
        <v>1041</v>
      </c>
      <c r="AO65">
        <v>56.484149855907781</v>
      </c>
      <c r="AP65" s="10">
        <f t="shared" si="23"/>
        <v>2.7733465743635151</v>
      </c>
    </row>
    <row r="66" spans="1:44" ht="19" x14ac:dyDescent="0.25">
      <c r="A66" t="s">
        <v>9</v>
      </c>
      <c r="B66" s="1">
        <v>370</v>
      </c>
      <c r="C66" s="1">
        <v>624</v>
      </c>
      <c r="D66" s="1">
        <v>56</v>
      </c>
      <c r="E66" s="1">
        <v>87</v>
      </c>
      <c r="F66" s="1">
        <v>100</v>
      </c>
      <c r="G66" s="1">
        <v>150</v>
      </c>
      <c r="H66" s="1">
        <v>31</v>
      </c>
      <c r="I66" s="1">
        <v>36</v>
      </c>
      <c r="J66" s="1">
        <v>98</v>
      </c>
      <c r="K66" s="1">
        <v>144</v>
      </c>
      <c r="M66">
        <f t="shared" si="16"/>
        <v>655</v>
      </c>
      <c r="N66">
        <f t="shared" si="17"/>
        <v>1041</v>
      </c>
      <c r="O66">
        <f t="shared" si="18"/>
        <v>62.920268972142168</v>
      </c>
      <c r="Q66" t="s">
        <v>9</v>
      </c>
      <c r="R66" s="1">
        <v>259</v>
      </c>
      <c r="S66" s="1">
        <v>624</v>
      </c>
      <c r="T66" s="1">
        <v>38</v>
      </c>
      <c r="U66" s="1">
        <v>87</v>
      </c>
      <c r="V66" s="1">
        <v>92</v>
      </c>
      <c r="W66" s="1">
        <v>150</v>
      </c>
      <c r="X66" s="1">
        <v>25</v>
      </c>
      <c r="Y66" s="1">
        <v>36</v>
      </c>
      <c r="Z66" s="3">
        <v>66</v>
      </c>
      <c r="AA66" s="1">
        <v>144</v>
      </c>
      <c r="AC66">
        <f t="shared" si="19"/>
        <v>480</v>
      </c>
      <c r="AD66">
        <f t="shared" si="20"/>
        <v>1041</v>
      </c>
      <c r="AE66">
        <f t="shared" si="21"/>
        <v>46.10951008645533</v>
      </c>
      <c r="AH66" s="5" t="s">
        <v>53</v>
      </c>
      <c r="AI66">
        <v>627</v>
      </c>
      <c r="AJ66">
        <v>1041</v>
      </c>
      <c r="AK66">
        <v>60.230547550432277</v>
      </c>
      <c r="AL66" s="10">
        <f>AY18-AK66</f>
        <v>0.4548403600865214</v>
      </c>
      <c r="AM66">
        <v>520</v>
      </c>
      <c r="AN66">
        <v>1041</v>
      </c>
      <c r="AO66">
        <v>49.951969260326607</v>
      </c>
      <c r="AP66" s="10">
        <f t="shared" si="23"/>
        <v>3.8478086232209137</v>
      </c>
    </row>
    <row r="67" spans="1:44" ht="19" x14ac:dyDescent="0.25">
      <c r="A67" t="s">
        <v>4</v>
      </c>
      <c r="B67" s="1">
        <v>410</v>
      </c>
      <c r="C67" s="1">
        <v>624</v>
      </c>
      <c r="D67" s="1">
        <v>57</v>
      </c>
      <c r="E67" s="1">
        <v>87</v>
      </c>
      <c r="F67" s="1">
        <v>113</v>
      </c>
      <c r="G67" s="1">
        <v>150</v>
      </c>
      <c r="H67" s="1">
        <v>36</v>
      </c>
      <c r="I67" s="1">
        <v>36</v>
      </c>
      <c r="J67" s="1">
        <v>101</v>
      </c>
      <c r="K67" s="1">
        <v>144</v>
      </c>
      <c r="M67">
        <f t="shared" si="16"/>
        <v>717</v>
      </c>
      <c r="N67">
        <f t="shared" si="17"/>
        <v>1041</v>
      </c>
      <c r="O67">
        <f t="shared" si="18"/>
        <v>68.876080691642656</v>
      </c>
      <c r="Q67" t="s">
        <v>4</v>
      </c>
      <c r="R67" s="1">
        <v>293</v>
      </c>
      <c r="S67" s="1">
        <v>624</v>
      </c>
      <c r="T67" s="1">
        <v>45</v>
      </c>
      <c r="U67" s="1">
        <v>87</v>
      </c>
      <c r="V67" s="1">
        <v>100</v>
      </c>
      <c r="W67" s="1">
        <v>150</v>
      </c>
      <c r="X67" s="1">
        <v>33</v>
      </c>
      <c r="Y67" s="1">
        <v>36</v>
      </c>
      <c r="Z67" s="3">
        <v>87</v>
      </c>
      <c r="AA67" s="1">
        <v>144</v>
      </c>
      <c r="AC67">
        <f t="shared" si="19"/>
        <v>558</v>
      </c>
      <c r="AD67">
        <f>S67+U67+W67</f>
        <v>861</v>
      </c>
      <c r="AE67">
        <f t="shared" si="21"/>
        <v>64.808362369337985</v>
      </c>
      <c r="AH67" s="5" t="s">
        <v>54</v>
      </c>
      <c r="AI67">
        <v>543</v>
      </c>
      <c r="AJ67">
        <v>1041</v>
      </c>
      <c r="AK67">
        <v>52.161383285302598</v>
      </c>
      <c r="AL67" s="10">
        <f>AY19-AK67</f>
        <v>1.2100271541706675</v>
      </c>
      <c r="AM67">
        <v>448</v>
      </c>
      <c r="AN67">
        <v>1041</v>
      </c>
      <c r="AO67">
        <v>43.035542747358306</v>
      </c>
      <c r="AP67" s="10">
        <f t="shared" si="23"/>
        <v>5.3541129721403493</v>
      </c>
    </row>
    <row r="70" spans="1:44" x14ac:dyDescent="0.2">
      <c r="S70" s="4"/>
    </row>
    <row r="72" spans="1:44" x14ac:dyDescent="0.2">
      <c r="A72" t="s">
        <v>30</v>
      </c>
    </row>
    <row r="73" spans="1:44" x14ac:dyDescent="0.2">
      <c r="A73" s="8" t="s">
        <v>19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Q73" s="8" t="s">
        <v>20</v>
      </c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H73" s="6"/>
      <c r="AI73" s="6"/>
      <c r="AJ73" s="6"/>
      <c r="AK73" s="6"/>
      <c r="AL73" s="6"/>
      <c r="AM73" s="6"/>
      <c r="AN73" s="6"/>
      <c r="AO73" s="6"/>
      <c r="AP73" s="6"/>
    </row>
    <row r="74" spans="1:44" x14ac:dyDescent="0.2">
      <c r="A74" s="2"/>
      <c r="B74" s="9" t="s">
        <v>22</v>
      </c>
      <c r="C74" s="9"/>
      <c r="D74" s="9" t="s">
        <v>23</v>
      </c>
      <c r="E74" s="9"/>
      <c r="F74" s="9" t="s">
        <v>24</v>
      </c>
      <c r="G74" s="9"/>
      <c r="H74" s="9" t="s">
        <v>25</v>
      </c>
      <c r="I74" s="9"/>
      <c r="J74" s="9" t="s">
        <v>26</v>
      </c>
      <c r="K74" s="9"/>
      <c r="L74" s="2"/>
      <c r="M74" s="2"/>
      <c r="N74" s="2"/>
      <c r="O74" s="2"/>
      <c r="Q74" s="2"/>
      <c r="R74" s="9" t="s">
        <v>22</v>
      </c>
      <c r="S74" s="9"/>
      <c r="T74" s="9" t="s">
        <v>23</v>
      </c>
      <c r="U74" s="9"/>
      <c r="V74" s="9" t="s">
        <v>24</v>
      </c>
      <c r="W74" s="9"/>
      <c r="X74" s="9" t="s">
        <v>25</v>
      </c>
      <c r="Y74" s="9"/>
      <c r="Z74" s="9" t="s">
        <v>26</v>
      </c>
      <c r="AA74" s="9"/>
      <c r="AB74" s="2"/>
      <c r="AC74" s="2"/>
      <c r="AD74" s="2"/>
      <c r="AE74" s="2"/>
      <c r="AI74" s="8" t="s">
        <v>52</v>
      </c>
      <c r="AJ74" s="8"/>
      <c r="AK74" s="8"/>
      <c r="AL74" s="8"/>
      <c r="AM74" s="7" t="s">
        <v>20</v>
      </c>
      <c r="AN74" s="7"/>
      <c r="AO74" s="7"/>
      <c r="AP74" s="7"/>
    </row>
    <row r="75" spans="1:44" x14ac:dyDescent="0.2">
      <c r="B75" t="s">
        <v>16</v>
      </c>
      <c r="C75" t="s">
        <v>17</v>
      </c>
      <c r="D75" t="s">
        <v>16</v>
      </c>
      <c r="E75" t="s">
        <v>17</v>
      </c>
      <c r="F75" t="s">
        <v>16</v>
      </c>
      <c r="G75" t="s">
        <v>17</v>
      </c>
      <c r="H75" t="s">
        <v>16</v>
      </c>
      <c r="I75" t="s">
        <v>17</v>
      </c>
      <c r="J75" t="s">
        <v>16</v>
      </c>
      <c r="K75" t="s">
        <v>17</v>
      </c>
      <c r="M75" t="s">
        <v>16</v>
      </c>
      <c r="N75" t="s">
        <v>17</v>
      </c>
      <c r="O75" t="s">
        <v>18</v>
      </c>
      <c r="R75" t="s">
        <v>16</v>
      </c>
      <c r="S75" t="s">
        <v>17</v>
      </c>
      <c r="T75" t="s">
        <v>16</v>
      </c>
      <c r="U75" t="s">
        <v>17</v>
      </c>
      <c r="V75" t="s">
        <v>16</v>
      </c>
      <c r="W75" t="s">
        <v>17</v>
      </c>
      <c r="X75" t="s">
        <v>16</v>
      </c>
      <c r="Y75" t="s">
        <v>17</v>
      </c>
      <c r="Z75" t="s">
        <v>16</v>
      </c>
      <c r="AA75" t="s">
        <v>17</v>
      </c>
      <c r="AC75" t="s">
        <v>16</v>
      </c>
      <c r="AD75" t="s">
        <v>17</v>
      </c>
      <c r="AE75" t="s">
        <v>18</v>
      </c>
      <c r="AI75" t="s">
        <v>16</v>
      </c>
      <c r="AJ75" t="s">
        <v>17</v>
      </c>
      <c r="AK75" t="s">
        <v>18</v>
      </c>
      <c r="AL75" t="s">
        <v>60</v>
      </c>
      <c r="AM75" t="s">
        <v>16</v>
      </c>
      <c r="AN75" t="s">
        <v>17</v>
      </c>
      <c r="AO75" t="s">
        <v>18</v>
      </c>
      <c r="AP75" t="s">
        <v>60</v>
      </c>
    </row>
    <row r="76" spans="1:44" ht="19" x14ac:dyDescent="0.25">
      <c r="A76" t="s">
        <v>0</v>
      </c>
      <c r="B76" s="1">
        <v>105</v>
      </c>
      <c r="C76" s="1">
        <v>177</v>
      </c>
      <c r="D76" s="1">
        <v>38</v>
      </c>
      <c r="E76" s="3">
        <v>51</v>
      </c>
      <c r="F76" s="1">
        <v>22</v>
      </c>
      <c r="G76" s="3">
        <v>35</v>
      </c>
      <c r="H76" s="1">
        <v>26</v>
      </c>
      <c r="I76" s="3">
        <v>40</v>
      </c>
      <c r="J76" s="1">
        <v>26</v>
      </c>
      <c r="K76" s="1">
        <v>32</v>
      </c>
      <c r="M76">
        <f t="shared" ref="M76:M91" si="24">B76+D76+F76+H76+J76</f>
        <v>217</v>
      </c>
      <c r="N76">
        <f t="shared" ref="N76:N91" si="25">C76+E76+G76+I76+K76</f>
        <v>335</v>
      </c>
      <c r="O76">
        <f>M76/N76*100</f>
        <v>64.776119402985074</v>
      </c>
      <c r="Q76" t="s">
        <v>0</v>
      </c>
      <c r="R76" s="3">
        <v>101</v>
      </c>
      <c r="S76" s="1">
        <v>177</v>
      </c>
      <c r="T76" s="1">
        <v>40</v>
      </c>
      <c r="U76" s="3">
        <v>51</v>
      </c>
      <c r="V76" s="1">
        <v>16</v>
      </c>
      <c r="W76" s="3">
        <v>35</v>
      </c>
      <c r="X76" s="1">
        <v>28</v>
      </c>
      <c r="Y76" s="3">
        <v>40</v>
      </c>
      <c r="Z76" s="1">
        <v>21</v>
      </c>
      <c r="AA76" s="3">
        <v>32</v>
      </c>
      <c r="AC76">
        <f t="shared" ref="AC76:AC90" si="26">R76+T76+V76+X76+Z76</f>
        <v>206</v>
      </c>
      <c r="AD76">
        <f t="shared" ref="AD76:AD90" si="27">S76+U76+W76+Y76+AA76</f>
        <v>335</v>
      </c>
      <c r="AE76">
        <f>AC76/AD76*100</f>
        <v>61.492537313432841</v>
      </c>
      <c r="AH76" s="5" t="s">
        <v>51</v>
      </c>
      <c r="AI76">
        <v>217</v>
      </c>
      <c r="AJ76">
        <v>335</v>
      </c>
      <c r="AK76">
        <v>64.776119402985074</v>
      </c>
      <c r="AL76" s="10">
        <f>AY4-AK76</f>
        <v>8.4271171510368248</v>
      </c>
      <c r="AM76">
        <v>206</v>
      </c>
      <c r="AN76">
        <v>335</v>
      </c>
      <c r="AO76">
        <v>61.492537313432841</v>
      </c>
      <c r="AP76" s="10">
        <f>AZ4-AO76</f>
        <v>2.8101756803796363</v>
      </c>
    </row>
    <row r="77" spans="1:44" ht="19" x14ac:dyDescent="0.25">
      <c r="A77" t="s">
        <v>11</v>
      </c>
      <c r="B77" s="1">
        <v>200</v>
      </c>
      <c r="C77" s="1">
        <v>531</v>
      </c>
      <c r="D77" s="1">
        <v>58</v>
      </c>
      <c r="E77" s="1">
        <v>153</v>
      </c>
      <c r="F77" s="1">
        <v>60</v>
      </c>
      <c r="G77" s="1">
        <v>105</v>
      </c>
      <c r="H77" s="1">
        <v>58</v>
      </c>
      <c r="I77" s="1">
        <v>120</v>
      </c>
      <c r="J77" s="1">
        <v>36</v>
      </c>
      <c r="K77" s="1">
        <v>96</v>
      </c>
      <c r="M77">
        <f t="shared" si="24"/>
        <v>412</v>
      </c>
      <c r="N77">
        <f t="shared" si="25"/>
        <v>1005</v>
      </c>
      <c r="O77">
        <f t="shared" ref="O77:O91" si="28">M77/N77*100</f>
        <v>40.995024875621887</v>
      </c>
      <c r="Q77" t="s">
        <v>11</v>
      </c>
      <c r="R77" s="1">
        <v>119</v>
      </c>
      <c r="S77" s="1">
        <v>531</v>
      </c>
      <c r="T77" s="1">
        <v>54</v>
      </c>
      <c r="U77" s="1">
        <v>153</v>
      </c>
      <c r="V77" s="1">
        <v>42</v>
      </c>
      <c r="W77" s="1">
        <v>105</v>
      </c>
      <c r="X77" s="1">
        <v>53</v>
      </c>
      <c r="Y77" s="1">
        <v>120</v>
      </c>
      <c r="Z77" s="1">
        <v>25</v>
      </c>
      <c r="AA77" s="1">
        <v>96</v>
      </c>
      <c r="AC77">
        <f t="shared" si="26"/>
        <v>293</v>
      </c>
      <c r="AD77">
        <f t="shared" si="27"/>
        <v>1005</v>
      </c>
      <c r="AE77">
        <f t="shared" ref="AE77:AE91" si="29">AC77/AD77*100</f>
        <v>29.154228855721392</v>
      </c>
      <c r="AH77" s="5" t="s">
        <v>38</v>
      </c>
      <c r="AI77">
        <v>665</v>
      </c>
      <c r="AJ77">
        <v>1005</v>
      </c>
      <c r="AK77">
        <v>66.169154228855717</v>
      </c>
      <c r="AL77" s="10">
        <f t="shared" ref="AL77:AL91" si="30">AY5-AK77</f>
        <v>0.71962889029389032</v>
      </c>
      <c r="AM77">
        <v>556</v>
      </c>
      <c r="AN77">
        <v>1005</v>
      </c>
      <c r="AO77">
        <v>55.323383084577117</v>
      </c>
      <c r="AP77" s="10">
        <f t="shared" ref="AP77:AP91" si="31">AZ5-AO77</f>
        <v>1.4432359857068775</v>
      </c>
    </row>
    <row r="78" spans="1:44" ht="19" x14ac:dyDescent="0.25">
      <c r="A78" t="s">
        <v>6</v>
      </c>
      <c r="B78" s="1">
        <v>302</v>
      </c>
      <c r="C78" s="1">
        <v>531</v>
      </c>
      <c r="D78" s="1">
        <v>82</v>
      </c>
      <c r="E78" s="1">
        <v>153</v>
      </c>
      <c r="F78" s="1">
        <v>61</v>
      </c>
      <c r="G78" s="1">
        <v>105</v>
      </c>
      <c r="H78" s="1">
        <v>66</v>
      </c>
      <c r="I78" s="1">
        <v>120</v>
      </c>
      <c r="J78" s="1">
        <v>48</v>
      </c>
      <c r="K78" s="1">
        <v>96</v>
      </c>
      <c r="M78">
        <f t="shared" si="24"/>
        <v>559</v>
      </c>
      <c r="N78">
        <f t="shared" si="25"/>
        <v>1005</v>
      </c>
      <c r="O78">
        <f t="shared" si="28"/>
        <v>55.621890547263689</v>
      </c>
      <c r="Q78" t="s">
        <v>6</v>
      </c>
      <c r="R78" s="1">
        <v>183</v>
      </c>
      <c r="S78" s="1">
        <v>531</v>
      </c>
      <c r="T78" s="1">
        <v>72</v>
      </c>
      <c r="U78" s="1">
        <v>153</v>
      </c>
      <c r="V78" s="1">
        <v>46</v>
      </c>
      <c r="W78" s="1">
        <v>105</v>
      </c>
      <c r="X78" s="1">
        <v>58</v>
      </c>
      <c r="Y78" s="1">
        <v>120</v>
      </c>
      <c r="Z78" s="1">
        <v>40</v>
      </c>
      <c r="AA78" s="1">
        <v>96</v>
      </c>
      <c r="AC78">
        <f t="shared" si="26"/>
        <v>399</v>
      </c>
      <c r="AD78">
        <f t="shared" si="27"/>
        <v>1005</v>
      </c>
      <c r="AE78">
        <f t="shared" si="29"/>
        <v>39.701492537313435</v>
      </c>
      <c r="AH78" s="5" t="s">
        <v>39</v>
      </c>
      <c r="AI78">
        <v>559</v>
      </c>
      <c r="AJ78">
        <v>1005</v>
      </c>
      <c r="AK78">
        <v>55.621890547263689</v>
      </c>
      <c r="AL78" s="11">
        <f t="shared" si="30"/>
        <v>-3.6307752053630082</v>
      </c>
      <c r="AM78">
        <v>399</v>
      </c>
      <c r="AN78">
        <v>1005</v>
      </c>
      <c r="AO78">
        <v>39.701492537313435</v>
      </c>
      <c r="AP78" s="10">
        <f t="shared" si="31"/>
        <v>2.59582619979588</v>
      </c>
      <c r="AR78" t="s">
        <v>57</v>
      </c>
    </row>
    <row r="79" spans="1:44" ht="19" x14ac:dyDescent="0.25">
      <c r="A79" t="s">
        <v>1</v>
      </c>
      <c r="B79" s="1">
        <v>360</v>
      </c>
      <c r="C79" s="1">
        <v>531</v>
      </c>
      <c r="D79" s="1">
        <v>103</v>
      </c>
      <c r="E79" s="1">
        <v>153</v>
      </c>
      <c r="F79" s="1">
        <v>58</v>
      </c>
      <c r="G79" s="1">
        <v>105</v>
      </c>
      <c r="H79" s="1">
        <v>75</v>
      </c>
      <c r="I79" s="1">
        <v>120</v>
      </c>
      <c r="J79" s="1">
        <v>69</v>
      </c>
      <c r="K79" s="1">
        <v>96</v>
      </c>
      <c r="M79">
        <f t="shared" si="24"/>
        <v>665</v>
      </c>
      <c r="N79">
        <f t="shared" si="25"/>
        <v>1005</v>
      </c>
      <c r="O79">
        <f t="shared" si="28"/>
        <v>66.169154228855717</v>
      </c>
      <c r="Q79" t="s">
        <v>1</v>
      </c>
      <c r="R79" s="1">
        <v>282</v>
      </c>
      <c r="S79" s="1">
        <v>531</v>
      </c>
      <c r="T79" s="1">
        <v>107</v>
      </c>
      <c r="U79" s="1">
        <v>153</v>
      </c>
      <c r="V79" s="1">
        <v>44</v>
      </c>
      <c r="W79" s="1">
        <v>105</v>
      </c>
      <c r="X79" s="1">
        <v>67</v>
      </c>
      <c r="Y79" s="1">
        <v>120</v>
      </c>
      <c r="Z79" s="1">
        <v>56</v>
      </c>
      <c r="AA79" s="1">
        <v>96</v>
      </c>
      <c r="AC79">
        <f t="shared" si="26"/>
        <v>556</v>
      </c>
      <c r="AD79">
        <f t="shared" si="27"/>
        <v>1005</v>
      </c>
      <c r="AE79">
        <f t="shared" si="29"/>
        <v>55.323383084577117</v>
      </c>
      <c r="AH79" s="5" t="s">
        <v>40</v>
      </c>
      <c r="AI79">
        <v>412</v>
      </c>
      <c r="AJ79">
        <v>1005</v>
      </c>
      <c r="AK79">
        <v>40.995024875621887</v>
      </c>
      <c r="AL79" s="11">
        <f t="shared" si="30"/>
        <v>-0.98233250690857687</v>
      </c>
      <c r="AM79">
        <v>293</v>
      </c>
      <c r="AN79">
        <v>1005</v>
      </c>
      <c r="AO79">
        <v>29.154228855721392</v>
      </c>
      <c r="AP79" s="10">
        <f t="shared" si="31"/>
        <v>0.83625035722687713</v>
      </c>
      <c r="AR79" t="s">
        <v>58</v>
      </c>
    </row>
    <row r="80" spans="1:44" ht="19" x14ac:dyDescent="0.25">
      <c r="A80" t="s">
        <v>27</v>
      </c>
      <c r="B80" s="1">
        <v>379</v>
      </c>
      <c r="C80" s="1">
        <v>531</v>
      </c>
      <c r="D80" s="1">
        <v>117</v>
      </c>
      <c r="E80" s="1">
        <v>153</v>
      </c>
      <c r="F80" s="1">
        <v>71</v>
      </c>
      <c r="G80" s="1">
        <v>105</v>
      </c>
      <c r="H80" s="1">
        <v>79</v>
      </c>
      <c r="I80" s="1">
        <v>120</v>
      </c>
      <c r="J80" s="1">
        <v>73</v>
      </c>
      <c r="K80" s="1">
        <v>96</v>
      </c>
      <c r="M80">
        <f t="shared" si="24"/>
        <v>719</v>
      </c>
      <c r="N80">
        <f t="shared" si="25"/>
        <v>1005</v>
      </c>
      <c r="O80">
        <f t="shared" si="28"/>
        <v>71.542288557213922</v>
      </c>
      <c r="Q80" t="s">
        <v>27</v>
      </c>
      <c r="R80" s="1">
        <v>318</v>
      </c>
      <c r="S80" s="1">
        <v>531</v>
      </c>
      <c r="T80" s="1">
        <v>110</v>
      </c>
      <c r="U80" s="1">
        <v>153</v>
      </c>
      <c r="V80" s="1">
        <v>49</v>
      </c>
      <c r="W80" s="1">
        <v>105</v>
      </c>
      <c r="X80" s="1">
        <v>84</v>
      </c>
      <c r="Y80" s="1">
        <v>120</v>
      </c>
      <c r="Z80" s="1">
        <v>60</v>
      </c>
      <c r="AA80" s="1">
        <v>96</v>
      </c>
      <c r="AC80">
        <f t="shared" si="26"/>
        <v>621</v>
      </c>
      <c r="AD80">
        <f t="shared" si="27"/>
        <v>1005</v>
      </c>
      <c r="AE80">
        <f t="shared" si="29"/>
        <v>61.791044776119406</v>
      </c>
      <c r="AH80" s="5" t="s">
        <v>41</v>
      </c>
      <c r="AI80">
        <v>724</v>
      </c>
      <c r="AJ80">
        <v>1005</v>
      </c>
      <c r="AK80">
        <v>72.039800995024876</v>
      </c>
      <c r="AL80" s="11">
        <f t="shared" si="30"/>
        <v>-1.8985983930893013</v>
      </c>
      <c r="AM80">
        <v>613</v>
      </c>
      <c r="AN80">
        <v>789</v>
      </c>
      <c r="AO80">
        <v>77.693282636248412</v>
      </c>
      <c r="AP80" s="11">
        <f t="shared" si="31"/>
        <v>-16.024236150447997</v>
      </c>
      <c r="AR80" t="s">
        <v>59</v>
      </c>
    </row>
    <row r="81" spans="1:42" ht="19" x14ac:dyDescent="0.25">
      <c r="A81" t="s">
        <v>7</v>
      </c>
      <c r="B81" s="1">
        <v>388</v>
      </c>
      <c r="C81" s="1">
        <v>531</v>
      </c>
      <c r="D81" s="1">
        <v>116</v>
      </c>
      <c r="E81" s="1">
        <v>153</v>
      </c>
      <c r="F81" s="1">
        <v>72</v>
      </c>
      <c r="G81" s="1">
        <v>105</v>
      </c>
      <c r="H81" s="1">
        <v>81</v>
      </c>
      <c r="I81" s="1">
        <v>120</v>
      </c>
      <c r="J81" s="1">
        <v>72</v>
      </c>
      <c r="K81" s="1">
        <v>96</v>
      </c>
      <c r="M81">
        <f t="shared" si="24"/>
        <v>729</v>
      </c>
      <c r="N81">
        <f t="shared" si="25"/>
        <v>1005</v>
      </c>
      <c r="O81">
        <f t="shared" si="28"/>
        <v>72.53731343283583</v>
      </c>
      <c r="Q81" t="s">
        <v>7</v>
      </c>
      <c r="R81" s="1">
        <v>315</v>
      </c>
      <c r="S81" s="1">
        <v>531</v>
      </c>
      <c r="T81" s="1">
        <v>115</v>
      </c>
      <c r="U81" s="1">
        <v>153</v>
      </c>
      <c r="V81" s="1">
        <v>49</v>
      </c>
      <c r="W81" s="1">
        <v>105</v>
      </c>
      <c r="X81" s="1">
        <v>77</v>
      </c>
      <c r="Y81" s="1">
        <v>120</v>
      </c>
      <c r="Z81" s="1">
        <v>59</v>
      </c>
      <c r="AA81" s="1">
        <v>96</v>
      </c>
      <c r="AC81">
        <f t="shared" si="26"/>
        <v>615</v>
      </c>
      <c r="AD81">
        <f t="shared" si="27"/>
        <v>1005</v>
      </c>
      <c r="AE81">
        <f t="shared" si="29"/>
        <v>61.194029850746269</v>
      </c>
      <c r="AH81" s="5" t="s">
        <v>42</v>
      </c>
      <c r="AI81">
        <v>663</v>
      </c>
      <c r="AJ81">
        <v>1005</v>
      </c>
      <c r="AK81">
        <v>65.97014925373135</v>
      </c>
      <c r="AL81" s="10">
        <f t="shared" si="30"/>
        <v>0.4585354995607247</v>
      </c>
      <c r="AM81">
        <v>538</v>
      </c>
      <c r="AN81">
        <v>1005</v>
      </c>
      <c r="AO81">
        <v>53.532338308457717</v>
      </c>
      <c r="AP81" s="10">
        <f t="shared" si="31"/>
        <v>0.33090141865636014</v>
      </c>
    </row>
    <row r="82" spans="1:42" ht="19" x14ac:dyDescent="0.25">
      <c r="A82" t="s">
        <v>28</v>
      </c>
      <c r="B82" s="1">
        <v>394</v>
      </c>
      <c r="C82" s="1">
        <v>531</v>
      </c>
      <c r="D82" s="1">
        <v>117</v>
      </c>
      <c r="E82" s="1">
        <v>153</v>
      </c>
      <c r="F82" s="1">
        <v>68</v>
      </c>
      <c r="G82" s="1">
        <v>105</v>
      </c>
      <c r="H82" s="1">
        <v>83</v>
      </c>
      <c r="I82" s="1">
        <v>120</v>
      </c>
      <c r="J82" s="1">
        <v>75</v>
      </c>
      <c r="K82" s="1">
        <v>96</v>
      </c>
      <c r="M82">
        <f t="shared" si="24"/>
        <v>737</v>
      </c>
      <c r="N82">
        <f t="shared" si="25"/>
        <v>1005</v>
      </c>
      <c r="O82">
        <f t="shared" si="28"/>
        <v>73.333333333333329</v>
      </c>
      <c r="Q82" t="s">
        <v>28</v>
      </c>
      <c r="R82" s="1">
        <v>348</v>
      </c>
      <c r="S82" s="1">
        <v>531</v>
      </c>
      <c r="T82" s="1">
        <v>118</v>
      </c>
      <c r="U82" s="1">
        <v>153</v>
      </c>
      <c r="V82" s="1">
        <v>50</v>
      </c>
      <c r="W82" s="1">
        <v>105</v>
      </c>
      <c r="X82" s="1">
        <v>85</v>
      </c>
      <c r="Y82" s="1">
        <v>120</v>
      </c>
      <c r="Z82" s="1">
        <v>62</v>
      </c>
      <c r="AA82" s="1">
        <v>96</v>
      </c>
      <c r="AC82">
        <f t="shared" si="26"/>
        <v>663</v>
      </c>
      <c r="AD82">
        <f t="shared" si="27"/>
        <v>1005</v>
      </c>
      <c r="AE82">
        <f t="shared" si="29"/>
        <v>65.97014925373135</v>
      </c>
      <c r="AH82" s="5" t="s">
        <v>43</v>
      </c>
      <c r="AI82">
        <v>614</v>
      </c>
      <c r="AJ82">
        <v>1005</v>
      </c>
      <c r="AK82">
        <v>61.094527363184085</v>
      </c>
      <c r="AL82" s="10">
        <f t="shared" si="30"/>
        <v>0.11442075675880403</v>
      </c>
      <c r="AM82">
        <v>445</v>
      </c>
      <c r="AN82">
        <v>1005</v>
      </c>
      <c r="AO82">
        <v>44.278606965174127</v>
      </c>
      <c r="AP82" s="11">
        <f t="shared" si="31"/>
        <v>-0.29954937355108768</v>
      </c>
    </row>
    <row r="83" spans="1:42" ht="19" x14ac:dyDescent="0.25">
      <c r="A83" t="s">
        <v>13</v>
      </c>
      <c r="B83" s="1">
        <v>350</v>
      </c>
      <c r="C83" s="1">
        <v>531</v>
      </c>
      <c r="D83" s="1">
        <v>112</v>
      </c>
      <c r="E83" s="1">
        <v>153</v>
      </c>
      <c r="F83" s="1">
        <v>68</v>
      </c>
      <c r="G83" s="1">
        <v>105</v>
      </c>
      <c r="H83" s="1">
        <v>83</v>
      </c>
      <c r="I83" s="1">
        <v>120</v>
      </c>
      <c r="J83" s="1">
        <v>69</v>
      </c>
      <c r="K83" s="1">
        <v>96</v>
      </c>
      <c r="M83">
        <f t="shared" si="24"/>
        <v>682</v>
      </c>
      <c r="N83">
        <f t="shared" si="25"/>
        <v>1005</v>
      </c>
      <c r="O83">
        <f t="shared" si="28"/>
        <v>67.860696517412933</v>
      </c>
      <c r="Q83" t="s">
        <v>13</v>
      </c>
      <c r="R83" s="1">
        <v>298</v>
      </c>
      <c r="S83" s="1">
        <v>531</v>
      </c>
      <c r="T83" s="1">
        <v>118</v>
      </c>
      <c r="U83" s="1">
        <v>153</v>
      </c>
      <c r="V83" s="1">
        <v>47</v>
      </c>
      <c r="W83" s="1">
        <v>105</v>
      </c>
      <c r="X83" s="1">
        <v>77</v>
      </c>
      <c r="Y83" s="1">
        <v>120</v>
      </c>
      <c r="Z83" s="1">
        <v>55</v>
      </c>
      <c r="AA83" s="1">
        <v>96</v>
      </c>
      <c r="AC83">
        <f t="shared" si="26"/>
        <v>595</v>
      </c>
      <c r="AD83">
        <f t="shared" si="27"/>
        <v>1005</v>
      </c>
      <c r="AE83">
        <f t="shared" si="29"/>
        <v>59.203980099502488</v>
      </c>
      <c r="AH83" s="5" t="s">
        <v>44</v>
      </c>
      <c r="AI83">
        <v>700</v>
      </c>
      <c r="AJ83">
        <v>1005</v>
      </c>
      <c r="AK83">
        <v>69.651741293532339</v>
      </c>
      <c r="AL83" s="10">
        <f t="shared" si="30"/>
        <v>1.2192725094186443</v>
      </c>
      <c r="AM83">
        <v>625</v>
      </c>
      <c r="AN83">
        <v>1005</v>
      </c>
      <c r="AO83">
        <v>62.189054726368155</v>
      </c>
      <c r="AP83" s="10">
        <f t="shared" si="31"/>
        <v>1.3362506837540096</v>
      </c>
    </row>
    <row r="84" spans="1:42" ht="19" x14ac:dyDescent="0.25">
      <c r="A84" t="s">
        <v>8</v>
      </c>
      <c r="B84" s="1">
        <v>336</v>
      </c>
      <c r="C84" s="1">
        <v>531</v>
      </c>
      <c r="D84" s="1">
        <v>120</v>
      </c>
      <c r="E84" s="1">
        <v>153</v>
      </c>
      <c r="F84" s="1">
        <v>67</v>
      </c>
      <c r="G84" s="1">
        <v>105</v>
      </c>
      <c r="H84" s="1">
        <v>81</v>
      </c>
      <c r="I84" s="1">
        <v>120</v>
      </c>
      <c r="J84" s="1">
        <v>70</v>
      </c>
      <c r="K84" s="1">
        <v>96</v>
      </c>
      <c r="M84">
        <f t="shared" si="24"/>
        <v>674</v>
      </c>
      <c r="N84">
        <f t="shared" si="25"/>
        <v>1005</v>
      </c>
      <c r="O84">
        <f t="shared" si="28"/>
        <v>67.06467661691542</v>
      </c>
      <c r="Q84" t="s">
        <v>8</v>
      </c>
      <c r="R84" s="1">
        <v>284</v>
      </c>
      <c r="S84" s="1">
        <v>531</v>
      </c>
      <c r="T84" s="1">
        <v>122</v>
      </c>
      <c r="U84" s="1">
        <v>153</v>
      </c>
      <c r="V84" s="1">
        <v>56</v>
      </c>
      <c r="W84" s="1">
        <v>105</v>
      </c>
      <c r="X84" s="1">
        <v>76</v>
      </c>
      <c r="Y84" s="1">
        <v>120</v>
      </c>
      <c r="Z84" s="1">
        <v>55</v>
      </c>
      <c r="AA84" s="1">
        <v>96</v>
      </c>
      <c r="AC84">
        <f t="shared" si="26"/>
        <v>593</v>
      </c>
      <c r="AD84">
        <f t="shared" si="27"/>
        <v>1005</v>
      </c>
      <c r="AE84">
        <f t="shared" si="29"/>
        <v>59.004975124378113</v>
      </c>
      <c r="AH84" s="5" t="s">
        <v>45</v>
      </c>
      <c r="AI84">
        <v>674</v>
      </c>
      <c r="AJ84">
        <v>1005</v>
      </c>
      <c r="AK84">
        <v>67.06467661691542</v>
      </c>
      <c r="AL84" s="10">
        <f t="shared" si="30"/>
        <v>0.52218678146630282</v>
      </c>
      <c r="AM84">
        <v>593</v>
      </c>
      <c r="AN84">
        <v>1005</v>
      </c>
      <c r="AO84">
        <v>59.004975124378113</v>
      </c>
      <c r="AP84" s="10">
        <f t="shared" si="31"/>
        <v>2.1405111519982114</v>
      </c>
    </row>
    <row r="85" spans="1:42" ht="19" x14ac:dyDescent="0.25">
      <c r="A85" t="s">
        <v>3</v>
      </c>
      <c r="B85" s="1">
        <v>354</v>
      </c>
      <c r="C85" s="1">
        <v>531</v>
      </c>
      <c r="D85" s="1">
        <v>116</v>
      </c>
      <c r="E85" s="1">
        <v>153</v>
      </c>
      <c r="F85" s="1">
        <v>79</v>
      </c>
      <c r="G85" s="1">
        <v>105</v>
      </c>
      <c r="H85" s="1">
        <v>79</v>
      </c>
      <c r="I85" s="1">
        <v>120</v>
      </c>
      <c r="J85" s="1">
        <v>72</v>
      </c>
      <c r="K85" s="1">
        <v>96</v>
      </c>
      <c r="M85">
        <f t="shared" si="24"/>
        <v>700</v>
      </c>
      <c r="N85">
        <f t="shared" si="25"/>
        <v>1005</v>
      </c>
      <c r="O85">
        <f t="shared" si="28"/>
        <v>69.651741293532339</v>
      </c>
      <c r="Q85" t="s">
        <v>3</v>
      </c>
      <c r="R85" s="1">
        <v>312</v>
      </c>
      <c r="S85" s="1">
        <v>531</v>
      </c>
      <c r="T85" s="1">
        <v>119</v>
      </c>
      <c r="U85" s="1">
        <v>153</v>
      </c>
      <c r="V85" s="1">
        <v>51</v>
      </c>
      <c r="W85" s="1">
        <v>105</v>
      </c>
      <c r="X85" s="1">
        <v>84</v>
      </c>
      <c r="Y85" s="1">
        <v>120</v>
      </c>
      <c r="Z85" s="1">
        <v>59</v>
      </c>
      <c r="AA85" s="1">
        <v>96</v>
      </c>
      <c r="AC85">
        <f t="shared" si="26"/>
        <v>625</v>
      </c>
      <c r="AD85">
        <f t="shared" si="27"/>
        <v>1005</v>
      </c>
      <c r="AE85">
        <f t="shared" si="29"/>
        <v>62.189054726368155</v>
      </c>
      <c r="AH85" s="5" t="s">
        <v>46</v>
      </c>
      <c r="AI85">
        <v>682</v>
      </c>
      <c r="AJ85">
        <v>1005</v>
      </c>
      <c r="AK85">
        <v>67.860696517412933</v>
      </c>
      <c r="AL85" s="11">
        <f t="shared" si="30"/>
        <v>-2.0348992780031381</v>
      </c>
      <c r="AM85">
        <v>595</v>
      </c>
      <c r="AN85">
        <v>1005</v>
      </c>
      <c r="AO85">
        <v>59.203980099502488</v>
      </c>
      <c r="AP85" s="10">
        <f t="shared" si="31"/>
        <v>0.48188377484305533</v>
      </c>
    </row>
    <row r="86" spans="1:42" ht="19" x14ac:dyDescent="0.25">
      <c r="A86" t="s">
        <v>15</v>
      </c>
      <c r="B86" s="1">
        <v>162</v>
      </c>
      <c r="C86" s="1">
        <v>531</v>
      </c>
      <c r="D86" s="1">
        <v>103</v>
      </c>
      <c r="E86" s="1">
        <v>153</v>
      </c>
      <c r="F86" s="1">
        <v>66</v>
      </c>
      <c r="G86" s="1">
        <v>105</v>
      </c>
      <c r="H86" s="1">
        <v>61</v>
      </c>
      <c r="I86" s="1">
        <v>120</v>
      </c>
      <c r="J86" s="1">
        <v>63</v>
      </c>
      <c r="K86" s="1">
        <v>96</v>
      </c>
      <c r="M86">
        <f t="shared" si="24"/>
        <v>455</v>
      </c>
      <c r="N86">
        <f t="shared" si="25"/>
        <v>1005</v>
      </c>
      <c r="O86">
        <f t="shared" si="28"/>
        <v>45.273631840796021</v>
      </c>
      <c r="Q86" t="s">
        <v>15</v>
      </c>
      <c r="R86" s="1">
        <v>164</v>
      </c>
      <c r="S86" s="1">
        <v>531</v>
      </c>
      <c r="T86" s="1">
        <v>101</v>
      </c>
      <c r="U86" s="1">
        <v>153</v>
      </c>
      <c r="V86" s="1">
        <v>46</v>
      </c>
      <c r="W86" s="1">
        <v>105</v>
      </c>
      <c r="X86" s="1">
        <v>65</v>
      </c>
      <c r="Y86" s="1">
        <v>120</v>
      </c>
      <c r="Z86" s="1">
        <v>56</v>
      </c>
      <c r="AA86" s="1">
        <v>96</v>
      </c>
      <c r="AC86">
        <f t="shared" si="26"/>
        <v>432</v>
      </c>
      <c r="AD86">
        <f t="shared" si="27"/>
        <v>1005</v>
      </c>
      <c r="AE86">
        <f t="shared" si="29"/>
        <v>42.985074626865668</v>
      </c>
      <c r="AH86" s="5" t="s">
        <v>47</v>
      </c>
      <c r="AI86">
        <v>737</v>
      </c>
      <c r="AJ86">
        <v>1005</v>
      </c>
      <c r="AK86">
        <v>73.333333333333329</v>
      </c>
      <c r="AL86" s="10">
        <f t="shared" si="30"/>
        <v>0.96462002221164767</v>
      </c>
      <c r="AM86">
        <v>663</v>
      </c>
      <c r="AN86">
        <v>1005</v>
      </c>
      <c r="AO86">
        <v>65.97014925373135</v>
      </c>
      <c r="AP86" s="11">
        <f t="shared" si="31"/>
        <v>-0.7789704499870993</v>
      </c>
    </row>
    <row r="87" spans="1:42" ht="19" x14ac:dyDescent="0.25">
      <c r="A87" t="s">
        <v>10</v>
      </c>
      <c r="B87" s="1">
        <v>295</v>
      </c>
      <c r="C87" s="1">
        <v>531</v>
      </c>
      <c r="D87" s="1">
        <v>104</v>
      </c>
      <c r="E87" s="1">
        <v>153</v>
      </c>
      <c r="F87" s="1">
        <v>67</v>
      </c>
      <c r="G87" s="1">
        <v>105</v>
      </c>
      <c r="H87" s="1">
        <v>64</v>
      </c>
      <c r="I87" s="1">
        <v>120</v>
      </c>
      <c r="J87" s="1">
        <v>62</v>
      </c>
      <c r="K87" s="1">
        <v>96</v>
      </c>
      <c r="M87">
        <f t="shared" si="24"/>
        <v>592</v>
      </c>
      <c r="N87">
        <f t="shared" si="25"/>
        <v>1005</v>
      </c>
      <c r="O87">
        <f t="shared" si="28"/>
        <v>58.905472636815922</v>
      </c>
      <c r="Q87" t="s">
        <v>10</v>
      </c>
      <c r="R87" s="1">
        <v>263</v>
      </c>
      <c r="S87" s="1">
        <v>531</v>
      </c>
      <c r="T87" s="1">
        <v>103</v>
      </c>
      <c r="U87" s="1">
        <v>153</v>
      </c>
      <c r="V87" s="1">
        <v>50</v>
      </c>
      <c r="W87" s="1">
        <v>105</v>
      </c>
      <c r="X87" s="1">
        <v>71</v>
      </c>
      <c r="Y87" s="1">
        <v>120</v>
      </c>
      <c r="Z87" s="1">
        <v>56</v>
      </c>
      <c r="AA87" s="1">
        <v>96</v>
      </c>
      <c r="AC87">
        <f t="shared" si="26"/>
        <v>543</v>
      </c>
      <c r="AD87">
        <f t="shared" si="27"/>
        <v>1005</v>
      </c>
      <c r="AE87">
        <f t="shared" si="29"/>
        <v>54.029850746268657</v>
      </c>
      <c r="AH87" s="5" t="s">
        <v>48</v>
      </c>
      <c r="AI87">
        <v>729</v>
      </c>
      <c r="AJ87">
        <v>1005</v>
      </c>
      <c r="AK87">
        <v>72.53731343283583</v>
      </c>
      <c r="AL87" s="10">
        <f t="shared" si="30"/>
        <v>0.90390503456063698</v>
      </c>
      <c r="AM87">
        <v>615</v>
      </c>
      <c r="AN87">
        <v>1005</v>
      </c>
      <c r="AO87">
        <v>61.194029850746269</v>
      </c>
      <c r="AP87" s="10">
        <f t="shared" si="31"/>
        <v>2.8707012296916119</v>
      </c>
    </row>
    <row r="88" spans="1:42" ht="19" x14ac:dyDescent="0.25">
      <c r="A88" t="s">
        <v>5</v>
      </c>
      <c r="B88" s="1">
        <v>335</v>
      </c>
      <c r="C88" s="1">
        <v>531</v>
      </c>
      <c r="D88" s="1">
        <v>102</v>
      </c>
      <c r="E88" s="1">
        <v>153</v>
      </c>
      <c r="F88" s="1">
        <v>70</v>
      </c>
      <c r="G88" s="1">
        <v>105</v>
      </c>
      <c r="H88" s="1">
        <v>74</v>
      </c>
      <c r="I88" s="1">
        <v>120</v>
      </c>
      <c r="J88" s="1">
        <v>57</v>
      </c>
      <c r="K88" s="1">
        <v>96</v>
      </c>
      <c r="M88">
        <f t="shared" si="24"/>
        <v>638</v>
      </c>
      <c r="N88">
        <f t="shared" si="25"/>
        <v>1005</v>
      </c>
      <c r="O88">
        <f t="shared" si="28"/>
        <v>63.482587064676622</v>
      </c>
      <c r="Q88" t="s">
        <v>5</v>
      </c>
      <c r="R88" s="1">
        <v>271</v>
      </c>
      <c r="S88" s="1">
        <v>531</v>
      </c>
      <c r="T88" s="1">
        <v>97</v>
      </c>
      <c r="U88" s="1">
        <v>153</v>
      </c>
      <c r="V88" s="1">
        <v>40</v>
      </c>
      <c r="W88" s="1">
        <v>105</v>
      </c>
      <c r="X88" s="1">
        <v>73</v>
      </c>
      <c r="Y88" s="1">
        <v>120</v>
      </c>
      <c r="Z88" s="1">
        <v>56</v>
      </c>
      <c r="AA88" s="1">
        <v>96</v>
      </c>
      <c r="AC88">
        <f t="shared" si="26"/>
        <v>537</v>
      </c>
      <c r="AD88">
        <f t="shared" si="27"/>
        <v>1005</v>
      </c>
      <c r="AE88">
        <f t="shared" si="29"/>
        <v>53.432835820895519</v>
      </c>
      <c r="AH88" s="5" t="s">
        <v>49</v>
      </c>
      <c r="AI88">
        <v>719</v>
      </c>
      <c r="AJ88">
        <v>1005</v>
      </c>
      <c r="AK88">
        <v>71.542288557213922</v>
      </c>
      <c r="AL88" s="10">
        <f t="shared" si="30"/>
        <v>1.7561407621577985</v>
      </c>
      <c r="AM88">
        <v>621</v>
      </c>
      <c r="AN88">
        <v>1005</v>
      </c>
      <c r="AO88">
        <v>61.791044776119406</v>
      </c>
      <c r="AP88" s="10">
        <f t="shared" si="31"/>
        <v>2.4006099914515886</v>
      </c>
    </row>
    <row r="89" spans="1:42" ht="19" x14ac:dyDescent="0.25">
      <c r="A89" t="s">
        <v>14</v>
      </c>
      <c r="B89" s="1">
        <v>353</v>
      </c>
      <c r="C89" s="1">
        <v>531</v>
      </c>
      <c r="D89" s="1">
        <v>87</v>
      </c>
      <c r="E89" s="1">
        <v>153</v>
      </c>
      <c r="F89" s="1">
        <v>59</v>
      </c>
      <c r="G89" s="1">
        <v>105</v>
      </c>
      <c r="H89" s="1">
        <v>60</v>
      </c>
      <c r="I89" s="1">
        <v>120</v>
      </c>
      <c r="J89" s="1">
        <v>55</v>
      </c>
      <c r="K89" s="1">
        <v>96</v>
      </c>
      <c r="M89">
        <f t="shared" si="24"/>
        <v>614</v>
      </c>
      <c r="N89">
        <f t="shared" si="25"/>
        <v>1005</v>
      </c>
      <c r="O89">
        <f t="shared" si="28"/>
        <v>61.094527363184085</v>
      </c>
      <c r="Q89" t="s">
        <v>14</v>
      </c>
      <c r="R89" s="1">
        <v>222</v>
      </c>
      <c r="S89" s="1">
        <v>531</v>
      </c>
      <c r="T89" s="1">
        <v>79</v>
      </c>
      <c r="U89" s="1">
        <v>153</v>
      </c>
      <c r="V89" s="1">
        <v>39</v>
      </c>
      <c r="W89" s="1">
        <v>105</v>
      </c>
      <c r="X89" s="1">
        <v>52</v>
      </c>
      <c r="Y89" s="1">
        <v>120</v>
      </c>
      <c r="Z89" s="1">
        <v>53</v>
      </c>
      <c r="AA89" s="1">
        <v>96</v>
      </c>
      <c r="AC89">
        <f t="shared" si="26"/>
        <v>445</v>
      </c>
      <c r="AD89">
        <f t="shared" si="27"/>
        <v>1005</v>
      </c>
      <c r="AE89">
        <f t="shared" si="29"/>
        <v>44.278606965174127</v>
      </c>
      <c r="AH89" s="5" t="s">
        <v>50</v>
      </c>
      <c r="AI89">
        <v>638</v>
      </c>
      <c r="AJ89">
        <v>1005</v>
      </c>
      <c r="AK89">
        <v>63.482587064676622</v>
      </c>
      <c r="AL89" s="10">
        <f t="shared" si="30"/>
        <v>3.580716124281011</v>
      </c>
      <c r="AM89">
        <v>537</v>
      </c>
      <c r="AN89">
        <v>1005</v>
      </c>
      <c r="AO89">
        <v>53.432835820895519</v>
      </c>
      <c r="AP89" s="10">
        <f t="shared" si="31"/>
        <v>5.8246606093757762</v>
      </c>
    </row>
    <row r="90" spans="1:42" ht="19" x14ac:dyDescent="0.25">
      <c r="A90" t="s">
        <v>9</v>
      </c>
      <c r="B90" s="1">
        <v>350</v>
      </c>
      <c r="C90" s="1">
        <v>531</v>
      </c>
      <c r="D90" s="1">
        <v>104</v>
      </c>
      <c r="E90" s="1">
        <v>153</v>
      </c>
      <c r="F90" s="1">
        <v>59</v>
      </c>
      <c r="G90" s="1">
        <v>105</v>
      </c>
      <c r="H90" s="1">
        <v>82</v>
      </c>
      <c r="I90" s="1">
        <v>120</v>
      </c>
      <c r="J90" s="1">
        <v>68</v>
      </c>
      <c r="K90" s="1">
        <v>96</v>
      </c>
      <c r="M90">
        <f t="shared" si="24"/>
        <v>663</v>
      </c>
      <c r="N90">
        <f t="shared" si="25"/>
        <v>1005</v>
      </c>
      <c r="O90">
        <f t="shared" si="28"/>
        <v>65.97014925373135</v>
      </c>
      <c r="Q90" t="s">
        <v>9</v>
      </c>
      <c r="R90" s="1">
        <v>278</v>
      </c>
      <c r="S90" s="1">
        <v>531</v>
      </c>
      <c r="T90" s="1">
        <v>94</v>
      </c>
      <c r="U90" s="1">
        <v>153</v>
      </c>
      <c r="V90" s="1">
        <v>40</v>
      </c>
      <c r="W90" s="1">
        <v>105</v>
      </c>
      <c r="X90" s="1">
        <v>69</v>
      </c>
      <c r="Y90" s="1">
        <v>120</v>
      </c>
      <c r="Z90" s="1">
        <v>57</v>
      </c>
      <c r="AA90" s="1">
        <v>96</v>
      </c>
      <c r="AC90">
        <f t="shared" si="26"/>
        <v>538</v>
      </c>
      <c r="AD90">
        <f t="shared" si="27"/>
        <v>1005</v>
      </c>
      <c r="AE90">
        <f t="shared" si="29"/>
        <v>53.532338308457717</v>
      </c>
      <c r="AH90" s="5" t="s">
        <v>53</v>
      </c>
      <c r="AI90">
        <v>592</v>
      </c>
      <c r="AJ90">
        <v>1005</v>
      </c>
      <c r="AK90">
        <v>58.905472636815922</v>
      </c>
      <c r="AL90" s="10">
        <f t="shared" si="30"/>
        <v>1.7799152737028763</v>
      </c>
      <c r="AM90">
        <v>543</v>
      </c>
      <c r="AN90">
        <v>1005</v>
      </c>
      <c r="AO90">
        <v>54.029850746268657</v>
      </c>
      <c r="AP90" s="11">
        <f t="shared" si="31"/>
        <v>-0.23007286272113703</v>
      </c>
    </row>
    <row r="91" spans="1:42" ht="19" x14ac:dyDescent="0.25">
      <c r="A91" t="s">
        <v>4</v>
      </c>
      <c r="B91" s="1">
        <v>384</v>
      </c>
      <c r="C91" s="1">
        <v>531</v>
      </c>
      <c r="D91" s="1">
        <v>122</v>
      </c>
      <c r="E91" s="1">
        <v>153</v>
      </c>
      <c r="F91" s="1">
        <v>64</v>
      </c>
      <c r="G91" s="1">
        <v>105</v>
      </c>
      <c r="H91" s="1">
        <v>80</v>
      </c>
      <c r="I91" s="1">
        <v>120</v>
      </c>
      <c r="J91" s="1">
        <v>74</v>
      </c>
      <c r="K91" s="1">
        <v>96</v>
      </c>
      <c r="M91">
        <f t="shared" si="24"/>
        <v>724</v>
      </c>
      <c r="N91">
        <f t="shared" si="25"/>
        <v>1005</v>
      </c>
      <c r="O91">
        <f t="shared" si="28"/>
        <v>72.039800995024876</v>
      </c>
      <c r="Q91" t="s">
        <v>4</v>
      </c>
      <c r="R91" s="1">
        <v>320</v>
      </c>
      <c r="S91" s="1">
        <v>531</v>
      </c>
      <c r="T91" s="1">
        <v>112</v>
      </c>
      <c r="U91" s="1">
        <v>153</v>
      </c>
      <c r="V91" s="1">
        <v>52</v>
      </c>
      <c r="W91" s="1">
        <v>105</v>
      </c>
      <c r="X91" s="1">
        <v>68</v>
      </c>
      <c r="Y91" s="1">
        <v>120</v>
      </c>
      <c r="Z91" s="1">
        <v>61</v>
      </c>
      <c r="AA91" s="1">
        <v>96</v>
      </c>
      <c r="AC91">
        <f>R91+T91+V91+X91+Z91</f>
        <v>613</v>
      </c>
      <c r="AD91">
        <f>S91+U91+W91</f>
        <v>789</v>
      </c>
      <c r="AE91">
        <f t="shared" si="29"/>
        <v>77.693282636248412</v>
      </c>
      <c r="AH91" s="5" t="s">
        <v>54</v>
      </c>
      <c r="AI91">
        <v>455</v>
      </c>
      <c r="AJ91">
        <v>1005</v>
      </c>
      <c r="AK91">
        <v>45.273631840796021</v>
      </c>
      <c r="AL91" s="10">
        <f t="shared" si="30"/>
        <v>8.0977785986772446</v>
      </c>
      <c r="AM91">
        <v>432</v>
      </c>
      <c r="AN91">
        <v>1005</v>
      </c>
      <c r="AO91">
        <v>42.985074626865668</v>
      </c>
      <c r="AP91" s="10">
        <f t="shared" si="31"/>
        <v>5.4045810926329878</v>
      </c>
    </row>
    <row r="94" spans="1:42" x14ac:dyDescent="0.2">
      <c r="A94" t="s">
        <v>36</v>
      </c>
    </row>
    <row r="95" spans="1:42" x14ac:dyDescent="0.2">
      <c r="A95" s="8" t="s">
        <v>19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Q95" s="8" t="s">
        <v>20</v>
      </c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H95" s="6"/>
      <c r="AI95" s="6"/>
      <c r="AJ95" s="6"/>
      <c r="AK95" s="6"/>
      <c r="AL95" s="6"/>
      <c r="AM95" s="6"/>
      <c r="AN95" s="6"/>
      <c r="AO95" s="6"/>
      <c r="AP95" s="6"/>
    </row>
    <row r="96" spans="1:42" x14ac:dyDescent="0.2">
      <c r="A96" s="2"/>
      <c r="B96" s="9" t="s">
        <v>22</v>
      </c>
      <c r="C96" s="9"/>
      <c r="D96" s="9" t="s">
        <v>23</v>
      </c>
      <c r="E96" s="9"/>
      <c r="F96" s="9" t="s">
        <v>24</v>
      </c>
      <c r="G96" s="9"/>
      <c r="H96" s="9" t="s">
        <v>25</v>
      </c>
      <c r="I96" s="9"/>
      <c r="J96" s="9" t="s">
        <v>26</v>
      </c>
      <c r="K96" s="9"/>
      <c r="L96" s="2"/>
      <c r="M96" s="2"/>
      <c r="N96" s="2"/>
      <c r="O96" s="2"/>
      <c r="Q96" s="2"/>
      <c r="R96" s="9" t="s">
        <v>22</v>
      </c>
      <c r="S96" s="9"/>
      <c r="T96" s="9" t="s">
        <v>23</v>
      </c>
      <c r="U96" s="9"/>
      <c r="V96" s="9" t="s">
        <v>24</v>
      </c>
      <c r="W96" s="9"/>
      <c r="X96" s="9" t="s">
        <v>25</v>
      </c>
      <c r="Y96" s="9"/>
      <c r="Z96" s="9" t="s">
        <v>26</v>
      </c>
      <c r="AA96" s="9"/>
      <c r="AB96" s="2"/>
      <c r="AC96" s="2"/>
      <c r="AD96" s="2"/>
      <c r="AE96" s="2"/>
      <c r="AI96" s="8" t="s">
        <v>52</v>
      </c>
      <c r="AJ96" s="8"/>
      <c r="AK96" s="8"/>
      <c r="AL96" s="8"/>
      <c r="AM96" s="12"/>
      <c r="AN96" s="12" t="s">
        <v>20</v>
      </c>
      <c r="AO96" s="12"/>
      <c r="AP96" s="12"/>
    </row>
    <row r="97" spans="1:45" x14ac:dyDescent="0.2">
      <c r="B97" t="s">
        <v>16</v>
      </c>
      <c r="C97" t="s">
        <v>17</v>
      </c>
      <c r="D97" t="s">
        <v>16</v>
      </c>
      <c r="E97" t="s">
        <v>17</v>
      </c>
      <c r="F97" t="s">
        <v>16</v>
      </c>
      <c r="G97" t="s">
        <v>17</v>
      </c>
      <c r="H97" t="s">
        <v>16</v>
      </c>
      <c r="I97" t="s">
        <v>17</v>
      </c>
      <c r="J97" t="s">
        <v>16</v>
      </c>
      <c r="K97" t="s">
        <v>17</v>
      </c>
      <c r="M97" t="s">
        <v>16</v>
      </c>
      <c r="N97" t="s">
        <v>17</v>
      </c>
      <c r="O97" t="s">
        <v>18</v>
      </c>
      <c r="R97" t="s">
        <v>16</v>
      </c>
      <c r="S97" t="s">
        <v>17</v>
      </c>
      <c r="T97" t="s">
        <v>16</v>
      </c>
      <c r="U97" t="s">
        <v>17</v>
      </c>
      <c r="V97" t="s">
        <v>16</v>
      </c>
      <c r="W97" t="s">
        <v>17</v>
      </c>
      <c r="X97" t="s">
        <v>16</v>
      </c>
      <c r="Y97" t="s">
        <v>17</v>
      </c>
      <c r="Z97" t="s">
        <v>16</v>
      </c>
      <c r="AA97" t="s">
        <v>17</v>
      </c>
      <c r="AC97" t="s">
        <v>16</v>
      </c>
      <c r="AD97" t="s">
        <v>17</v>
      </c>
      <c r="AE97" t="s">
        <v>18</v>
      </c>
      <c r="AI97" t="s">
        <v>16</v>
      </c>
      <c r="AJ97" t="s">
        <v>17</v>
      </c>
      <c r="AK97" t="s">
        <v>18</v>
      </c>
      <c r="AL97" t="s">
        <v>60</v>
      </c>
      <c r="AM97" t="s">
        <v>16</v>
      </c>
      <c r="AN97" t="s">
        <v>17</v>
      </c>
      <c r="AO97" t="s">
        <v>18</v>
      </c>
      <c r="AP97" t="s">
        <v>60</v>
      </c>
    </row>
    <row r="98" spans="1:45" ht="19" x14ac:dyDescent="0.25">
      <c r="A98" t="s">
        <v>0</v>
      </c>
      <c r="B98" s="1">
        <v>497</v>
      </c>
      <c r="C98" s="1">
        <v>708</v>
      </c>
      <c r="D98" s="1"/>
      <c r="E98" s="3"/>
      <c r="F98" s="1"/>
      <c r="G98" s="3"/>
      <c r="H98" s="1"/>
      <c r="I98" s="3"/>
      <c r="J98" s="1"/>
      <c r="K98" s="1"/>
      <c r="M98">
        <f t="shared" ref="M98:M113" si="32">B98+D98+F98+H98+J98</f>
        <v>497</v>
      </c>
      <c r="N98">
        <f t="shared" ref="N98:N113" si="33">C98+E98+G98+I98+K98</f>
        <v>708</v>
      </c>
      <c r="O98">
        <f>M98/N98*100</f>
        <v>70.197740112994353</v>
      </c>
      <c r="Q98" t="s">
        <v>0</v>
      </c>
      <c r="R98" s="3">
        <v>412</v>
      </c>
      <c r="S98" s="1">
        <v>708</v>
      </c>
      <c r="T98" s="1"/>
      <c r="U98" s="3"/>
      <c r="V98" s="1"/>
      <c r="W98" s="3"/>
      <c r="X98" s="1"/>
      <c r="Y98" s="3"/>
      <c r="Z98" s="1"/>
      <c r="AA98" s="3"/>
      <c r="AC98">
        <f t="shared" ref="AC98:AC112" si="34">R98+T98+V98+X98+Z98</f>
        <v>412</v>
      </c>
      <c r="AD98">
        <f t="shared" ref="AD98:AD112" si="35">S98+U98+W98+Y98+AA98</f>
        <v>708</v>
      </c>
      <c r="AE98">
        <f>AC98/AD98*100</f>
        <v>58.192090395480221</v>
      </c>
      <c r="AH98" s="5" t="s">
        <v>51</v>
      </c>
      <c r="AI98">
        <v>497</v>
      </c>
      <c r="AJ98">
        <v>708</v>
      </c>
      <c r="AK98">
        <v>70.197740112994353</v>
      </c>
      <c r="AL98" s="10">
        <f>AY4-AK98</f>
        <v>3.005496441027546</v>
      </c>
      <c r="AM98">
        <v>412</v>
      </c>
      <c r="AN98">
        <v>708</v>
      </c>
      <c r="AO98">
        <v>58.192090395480221</v>
      </c>
      <c r="AP98" s="10">
        <f>AZ4-AO98</f>
        <v>6.110622598332256</v>
      </c>
    </row>
    <row r="99" spans="1:45" ht="19" x14ac:dyDescent="0.25">
      <c r="A99" t="s">
        <v>11</v>
      </c>
      <c r="B99" s="1">
        <v>776</v>
      </c>
      <c r="C99" s="1">
        <v>2124</v>
      </c>
      <c r="D99" s="1"/>
      <c r="E99" s="1"/>
      <c r="F99" s="1"/>
      <c r="G99" s="1"/>
      <c r="H99" s="1"/>
      <c r="I99" s="1"/>
      <c r="J99" s="1"/>
      <c r="K99" s="1"/>
      <c r="M99">
        <f t="shared" si="32"/>
        <v>776</v>
      </c>
      <c r="N99">
        <f t="shared" si="33"/>
        <v>2124</v>
      </c>
      <c r="O99">
        <f t="shared" ref="O99:O113" si="36">M99/N99*100</f>
        <v>36.534839924670429</v>
      </c>
      <c r="Q99" t="s">
        <v>11</v>
      </c>
      <c r="R99" s="1">
        <v>553</v>
      </c>
      <c r="S99" s="1">
        <v>2124</v>
      </c>
      <c r="T99" s="1"/>
      <c r="U99" s="1"/>
      <c r="V99" s="1"/>
      <c r="W99" s="1"/>
      <c r="X99" s="1"/>
      <c r="Y99" s="1"/>
      <c r="Z99" s="1"/>
      <c r="AA99" s="1"/>
      <c r="AC99">
        <f t="shared" si="34"/>
        <v>553</v>
      </c>
      <c r="AD99">
        <f t="shared" si="35"/>
        <v>2124</v>
      </c>
      <c r="AE99">
        <f t="shared" ref="AE99:AE113" si="37">AC99/AD99*100</f>
        <v>26.035781544256121</v>
      </c>
      <c r="AH99" s="5" t="s">
        <v>38</v>
      </c>
      <c r="AI99">
        <v>1380</v>
      </c>
      <c r="AJ99">
        <v>2124</v>
      </c>
      <c r="AK99">
        <v>64.971751412429384</v>
      </c>
      <c r="AL99" s="10">
        <f t="shared" ref="AL99:AL113" si="38">AY5-AK99</f>
        <v>1.9170317067202234</v>
      </c>
      <c r="AM99">
        <v>1149</v>
      </c>
      <c r="AN99">
        <v>2124</v>
      </c>
      <c r="AO99">
        <v>54.096045197740118</v>
      </c>
      <c r="AP99" s="10">
        <f t="shared" ref="AP99:AP113" si="39">AZ5-AO99</f>
        <v>2.6705738725438763</v>
      </c>
    </row>
    <row r="100" spans="1:45" ht="19" x14ac:dyDescent="0.25">
      <c r="A100" t="s">
        <v>6</v>
      </c>
      <c r="B100" s="1">
        <v>1000</v>
      </c>
      <c r="C100" s="1">
        <v>2124</v>
      </c>
      <c r="D100" s="1"/>
      <c r="E100" s="1"/>
      <c r="F100" s="1"/>
      <c r="G100" s="1"/>
      <c r="H100" s="1"/>
      <c r="I100" s="1"/>
      <c r="J100" s="1"/>
      <c r="K100" s="1"/>
      <c r="M100">
        <f t="shared" si="32"/>
        <v>1000</v>
      </c>
      <c r="N100">
        <f t="shared" si="33"/>
        <v>2124</v>
      </c>
      <c r="O100">
        <f t="shared" si="36"/>
        <v>47.080979284369114</v>
      </c>
      <c r="Q100" t="s">
        <v>6</v>
      </c>
      <c r="R100" s="1">
        <v>792</v>
      </c>
      <c r="S100" s="1">
        <v>2124</v>
      </c>
      <c r="T100" s="1"/>
      <c r="U100" s="1"/>
      <c r="V100" s="1"/>
      <c r="W100" s="1"/>
      <c r="X100" s="1"/>
      <c r="Y100" s="1"/>
      <c r="Z100" s="1"/>
      <c r="AA100" s="1"/>
      <c r="AC100">
        <f t="shared" si="34"/>
        <v>792</v>
      </c>
      <c r="AD100">
        <f t="shared" si="35"/>
        <v>2124</v>
      </c>
      <c r="AE100">
        <f t="shared" si="37"/>
        <v>37.288135593220339</v>
      </c>
      <c r="AH100" s="5" t="s">
        <v>39</v>
      </c>
      <c r="AI100">
        <v>1000</v>
      </c>
      <c r="AJ100">
        <v>2124</v>
      </c>
      <c r="AK100">
        <v>47.080979284369114</v>
      </c>
      <c r="AL100" s="10">
        <f t="shared" si="38"/>
        <v>4.9101360575315667</v>
      </c>
      <c r="AM100">
        <v>792</v>
      </c>
      <c r="AN100">
        <v>2124</v>
      </c>
      <c r="AO100">
        <v>37.288135593220339</v>
      </c>
      <c r="AP100" s="10">
        <f t="shared" si="39"/>
        <v>5.0091831438889756</v>
      </c>
      <c r="AS100" t="s">
        <v>56</v>
      </c>
    </row>
    <row r="101" spans="1:45" ht="19" x14ac:dyDescent="0.25">
      <c r="A101" t="s">
        <v>1</v>
      </c>
      <c r="B101" s="1">
        <v>1380</v>
      </c>
      <c r="C101" s="1">
        <v>2124</v>
      </c>
      <c r="D101" s="1"/>
      <c r="E101" s="1"/>
      <c r="F101" s="1"/>
      <c r="G101" s="1"/>
      <c r="H101" s="1"/>
      <c r="I101" s="1"/>
      <c r="J101" s="1"/>
      <c r="K101" s="1"/>
      <c r="M101">
        <f t="shared" si="32"/>
        <v>1380</v>
      </c>
      <c r="N101">
        <f t="shared" si="33"/>
        <v>2124</v>
      </c>
      <c r="O101">
        <f t="shared" si="36"/>
        <v>64.971751412429384</v>
      </c>
      <c r="Q101" t="s">
        <v>1</v>
      </c>
      <c r="R101" s="1">
        <v>1149</v>
      </c>
      <c r="S101" s="1">
        <v>2124</v>
      </c>
      <c r="T101" s="1"/>
      <c r="U101" s="1"/>
      <c r="V101" s="1"/>
      <c r="W101" s="1"/>
      <c r="X101" s="1"/>
      <c r="Y101" s="1"/>
      <c r="Z101" s="1"/>
      <c r="AA101" s="1"/>
      <c r="AC101">
        <f t="shared" si="34"/>
        <v>1149</v>
      </c>
      <c r="AD101">
        <f t="shared" si="35"/>
        <v>2124</v>
      </c>
      <c r="AE101">
        <f t="shared" si="37"/>
        <v>54.096045197740118</v>
      </c>
      <c r="AH101" s="5" t="s">
        <v>40</v>
      </c>
      <c r="AI101">
        <v>776</v>
      </c>
      <c r="AJ101">
        <v>2124</v>
      </c>
      <c r="AK101">
        <v>36.534839924670429</v>
      </c>
      <c r="AL101" s="10">
        <f t="shared" si="38"/>
        <v>3.4778524440428811</v>
      </c>
      <c r="AM101">
        <v>553</v>
      </c>
      <c r="AN101">
        <v>2124</v>
      </c>
      <c r="AO101">
        <v>26.035781544256121</v>
      </c>
      <c r="AP101" s="10">
        <f t="shared" si="39"/>
        <v>3.9546976686921482</v>
      </c>
    </row>
    <row r="102" spans="1:45" ht="19" x14ac:dyDescent="0.25">
      <c r="A102" t="s">
        <v>27</v>
      </c>
      <c r="B102" s="1">
        <v>1523</v>
      </c>
      <c r="C102" s="1">
        <v>2124</v>
      </c>
      <c r="D102" s="1"/>
      <c r="E102" s="1"/>
      <c r="F102" s="1"/>
      <c r="G102" s="1"/>
      <c r="H102" s="1"/>
      <c r="I102" s="1"/>
      <c r="J102" s="1"/>
      <c r="K102" s="1"/>
      <c r="M102">
        <f t="shared" si="32"/>
        <v>1523</v>
      </c>
      <c r="N102">
        <f t="shared" si="33"/>
        <v>2124</v>
      </c>
      <c r="O102">
        <f t="shared" si="36"/>
        <v>71.704331450094159</v>
      </c>
      <c r="Q102" t="s">
        <v>27</v>
      </c>
      <c r="R102" s="1">
        <v>1285</v>
      </c>
      <c r="S102" s="1">
        <v>2124</v>
      </c>
      <c r="T102" s="1"/>
      <c r="U102" s="1"/>
      <c r="V102" s="1"/>
      <c r="W102" s="1"/>
      <c r="X102" s="1"/>
      <c r="Y102" s="1"/>
      <c r="Z102" s="1"/>
      <c r="AA102" s="1"/>
      <c r="AC102">
        <f t="shared" si="34"/>
        <v>1285</v>
      </c>
      <c r="AD102">
        <f t="shared" si="35"/>
        <v>2124</v>
      </c>
      <c r="AE102">
        <f t="shared" si="37"/>
        <v>60.499058380414318</v>
      </c>
      <c r="AH102" s="5" t="s">
        <v>41</v>
      </c>
      <c r="AI102">
        <v>1446</v>
      </c>
      <c r="AJ102">
        <v>2124</v>
      </c>
      <c r="AK102">
        <v>68.079096045197744</v>
      </c>
      <c r="AL102" s="10">
        <f t="shared" si="38"/>
        <v>2.0621065567378309</v>
      </c>
      <c r="AM102">
        <v>1249</v>
      </c>
      <c r="AN102">
        <v>2124</v>
      </c>
      <c r="AO102">
        <v>58.804143126177024</v>
      </c>
      <c r="AP102" s="10">
        <f t="shared" si="39"/>
        <v>2.8649033596233906</v>
      </c>
    </row>
    <row r="103" spans="1:45" ht="19" x14ac:dyDescent="0.25">
      <c r="A103" t="s">
        <v>7</v>
      </c>
      <c r="B103" s="1">
        <v>1554</v>
      </c>
      <c r="C103" s="1">
        <v>2124</v>
      </c>
      <c r="D103" s="1"/>
      <c r="E103" s="1"/>
      <c r="F103" s="1"/>
      <c r="G103" s="1"/>
      <c r="H103" s="1"/>
      <c r="I103" s="1"/>
      <c r="J103" s="1"/>
      <c r="K103" s="1"/>
      <c r="M103">
        <f t="shared" si="32"/>
        <v>1554</v>
      </c>
      <c r="N103">
        <f t="shared" si="33"/>
        <v>2124</v>
      </c>
      <c r="O103">
        <f t="shared" si="36"/>
        <v>73.163841807909606</v>
      </c>
      <c r="Q103" t="s">
        <v>7</v>
      </c>
      <c r="R103" s="1">
        <v>1276</v>
      </c>
      <c r="S103" s="1">
        <v>2124</v>
      </c>
      <c r="T103" s="1"/>
      <c r="U103" s="1"/>
      <c r="V103" s="1"/>
      <c r="W103" s="1"/>
      <c r="X103" s="1"/>
      <c r="Y103" s="1"/>
      <c r="Z103" s="1"/>
      <c r="AA103" s="1"/>
      <c r="AC103">
        <f t="shared" si="34"/>
        <v>1276</v>
      </c>
      <c r="AD103">
        <f t="shared" si="35"/>
        <v>2124</v>
      </c>
      <c r="AE103">
        <f t="shared" si="37"/>
        <v>60.075329566854997</v>
      </c>
      <c r="AH103" s="5" t="s">
        <v>42</v>
      </c>
      <c r="AI103">
        <v>1434</v>
      </c>
      <c r="AJ103">
        <v>2124</v>
      </c>
      <c r="AK103">
        <v>67.514124293785315</v>
      </c>
      <c r="AL103" s="11">
        <f t="shared" si="38"/>
        <v>-1.0854395404932404</v>
      </c>
      <c r="AM103">
        <v>1122</v>
      </c>
      <c r="AN103">
        <v>2124</v>
      </c>
      <c r="AO103">
        <v>52.824858757062145</v>
      </c>
      <c r="AP103" s="10">
        <f t="shared" si="39"/>
        <v>1.0383809700519322</v>
      </c>
    </row>
    <row r="104" spans="1:45" ht="19" x14ac:dyDescent="0.25">
      <c r="A104" t="s">
        <v>28</v>
      </c>
      <c r="B104" s="1">
        <v>1562</v>
      </c>
      <c r="C104" s="1">
        <v>2124</v>
      </c>
      <c r="D104" s="1"/>
      <c r="E104" s="1"/>
      <c r="F104" s="1"/>
      <c r="G104" s="1"/>
      <c r="H104" s="1"/>
      <c r="I104" s="1"/>
      <c r="J104" s="1"/>
      <c r="K104" s="1"/>
      <c r="M104">
        <f t="shared" si="32"/>
        <v>1562</v>
      </c>
      <c r="N104">
        <f t="shared" si="33"/>
        <v>2124</v>
      </c>
      <c r="O104">
        <f t="shared" si="36"/>
        <v>73.540489642184554</v>
      </c>
      <c r="Q104" t="s">
        <v>28</v>
      </c>
      <c r="R104" s="1">
        <v>1348</v>
      </c>
      <c r="S104" s="1">
        <v>2124</v>
      </c>
      <c r="T104" s="1"/>
      <c r="U104" s="1"/>
      <c r="V104" s="1"/>
      <c r="W104" s="1"/>
      <c r="X104" s="1"/>
      <c r="Y104" s="1"/>
      <c r="Z104" s="1"/>
      <c r="AA104" s="1"/>
      <c r="AC104">
        <f t="shared" si="34"/>
        <v>1348</v>
      </c>
      <c r="AD104">
        <f t="shared" si="35"/>
        <v>2124</v>
      </c>
      <c r="AE104">
        <f t="shared" si="37"/>
        <v>63.465160075329564</v>
      </c>
      <c r="AH104" s="5" t="s">
        <v>43</v>
      </c>
      <c r="AI104">
        <v>1336</v>
      </c>
      <c r="AJ104">
        <v>2124</v>
      </c>
      <c r="AK104">
        <v>62.900188323917142</v>
      </c>
      <c r="AL104" s="11">
        <f t="shared" si="38"/>
        <v>-1.6912402039742531</v>
      </c>
      <c r="AM104">
        <v>852</v>
      </c>
      <c r="AN104">
        <v>2124</v>
      </c>
      <c r="AO104">
        <v>40.112994350282491</v>
      </c>
      <c r="AP104" s="10">
        <f t="shared" si="39"/>
        <v>3.866063241340548</v>
      </c>
    </row>
    <row r="105" spans="1:45" ht="19" x14ac:dyDescent="0.25">
      <c r="A105" t="s">
        <v>13</v>
      </c>
      <c r="B105" s="1">
        <v>1330</v>
      </c>
      <c r="C105" s="1">
        <v>2124</v>
      </c>
      <c r="D105" s="1"/>
      <c r="E105" s="1"/>
      <c r="F105" s="1"/>
      <c r="G105" s="1"/>
      <c r="H105" s="1"/>
      <c r="I105" s="1"/>
      <c r="J105" s="1"/>
      <c r="K105" s="1"/>
      <c r="M105">
        <f t="shared" si="32"/>
        <v>1330</v>
      </c>
      <c r="N105">
        <f t="shared" si="33"/>
        <v>2124</v>
      </c>
      <c r="O105">
        <f t="shared" si="36"/>
        <v>62.61770244821092</v>
      </c>
      <c r="Q105" t="s">
        <v>13</v>
      </c>
      <c r="R105" s="1">
        <v>1114</v>
      </c>
      <c r="S105" s="1">
        <v>2124</v>
      </c>
      <c r="T105" s="1"/>
      <c r="U105" s="1"/>
      <c r="V105" s="1"/>
      <c r="W105" s="1"/>
      <c r="X105" s="1"/>
      <c r="Y105" s="1"/>
      <c r="Z105" s="1"/>
      <c r="AA105" s="1"/>
      <c r="AC105">
        <f t="shared" si="34"/>
        <v>1114</v>
      </c>
      <c r="AD105">
        <f t="shared" si="35"/>
        <v>2124</v>
      </c>
      <c r="AE105">
        <f t="shared" si="37"/>
        <v>52.448210922787197</v>
      </c>
      <c r="AH105" s="5" t="s">
        <v>44</v>
      </c>
      <c r="AI105">
        <v>1440</v>
      </c>
      <c r="AJ105">
        <v>2124</v>
      </c>
      <c r="AK105">
        <v>67.796610169491515</v>
      </c>
      <c r="AL105" s="10">
        <f t="shared" si="38"/>
        <v>3.0744036334594682</v>
      </c>
      <c r="AM105">
        <v>1194</v>
      </c>
      <c r="AN105">
        <v>2124</v>
      </c>
      <c r="AO105">
        <v>56.21468926553672</v>
      </c>
      <c r="AP105" s="10">
        <f t="shared" si="39"/>
        <v>7.3106161445854454</v>
      </c>
    </row>
    <row r="106" spans="1:45" ht="19" x14ac:dyDescent="0.25">
      <c r="A106" t="s">
        <v>8</v>
      </c>
      <c r="B106" s="1">
        <v>1382</v>
      </c>
      <c r="C106" s="1">
        <v>2124</v>
      </c>
      <c r="D106" s="1"/>
      <c r="E106" s="1"/>
      <c r="F106" s="1"/>
      <c r="G106" s="1"/>
      <c r="H106" s="1"/>
      <c r="I106" s="1"/>
      <c r="J106" s="1"/>
      <c r="K106" s="1"/>
      <c r="M106">
        <f t="shared" si="32"/>
        <v>1382</v>
      </c>
      <c r="N106">
        <f t="shared" si="33"/>
        <v>2124</v>
      </c>
      <c r="O106">
        <f t="shared" si="36"/>
        <v>65.065913370998118</v>
      </c>
      <c r="Q106" t="s">
        <v>8</v>
      </c>
      <c r="R106" s="1">
        <v>1124</v>
      </c>
      <c r="S106" s="1">
        <v>2124</v>
      </c>
      <c r="T106" s="1"/>
      <c r="U106" s="1"/>
      <c r="V106" s="1"/>
      <c r="W106" s="1"/>
      <c r="X106" s="1"/>
      <c r="Y106" s="1"/>
      <c r="Z106" s="1"/>
      <c r="AA106" s="1"/>
      <c r="AC106">
        <f t="shared" si="34"/>
        <v>1124</v>
      </c>
      <c r="AD106">
        <f t="shared" si="35"/>
        <v>2124</v>
      </c>
      <c r="AE106">
        <f t="shared" si="37"/>
        <v>52.919020715630879</v>
      </c>
      <c r="AH106" s="5" t="s">
        <v>45</v>
      </c>
      <c r="AI106">
        <v>1382</v>
      </c>
      <c r="AJ106">
        <v>2124</v>
      </c>
      <c r="AK106">
        <v>65.065913370998118</v>
      </c>
      <c r="AL106" s="10">
        <f t="shared" si="38"/>
        <v>2.5209500273836056</v>
      </c>
      <c r="AM106">
        <v>1124</v>
      </c>
      <c r="AN106">
        <v>2124</v>
      </c>
      <c r="AO106">
        <v>52.919020715630879</v>
      </c>
      <c r="AP106" s="10">
        <f t="shared" si="39"/>
        <v>8.2264655607454458</v>
      </c>
    </row>
    <row r="107" spans="1:45" ht="19" x14ac:dyDescent="0.25">
      <c r="A107" t="s">
        <v>3</v>
      </c>
      <c r="B107" s="1">
        <v>1440</v>
      </c>
      <c r="C107" s="1">
        <v>2124</v>
      </c>
      <c r="D107" s="1"/>
      <c r="E107" s="1"/>
      <c r="F107" s="1"/>
      <c r="G107" s="1"/>
      <c r="H107" s="1"/>
      <c r="I107" s="1"/>
      <c r="J107" s="1"/>
      <c r="K107" s="1"/>
      <c r="M107">
        <f t="shared" si="32"/>
        <v>1440</v>
      </c>
      <c r="N107">
        <f t="shared" si="33"/>
        <v>2124</v>
      </c>
      <c r="O107">
        <f t="shared" si="36"/>
        <v>67.796610169491515</v>
      </c>
      <c r="Q107" t="s">
        <v>3</v>
      </c>
      <c r="R107" s="1">
        <v>1194</v>
      </c>
      <c r="S107" s="1">
        <v>2124</v>
      </c>
      <c r="T107" s="1"/>
      <c r="U107" s="1"/>
      <c r="V107" s="1"/>
      <c r="W107" s="1"/>
      <c r="X107" s="1"/>
      <c r="Y107" s="1"/>
      <c r="Z107" s="1"/>
      <c r="AA107" s="1"/>
      <c r="AC107">
        <f t="shared" si="34"/>
        <v>1194</v>
      </c>
      <c r="AD107">
        <f t="shared" si="35"/>
        <v>2124</v>
      </c>
      <c r="AE107">
        <f t="shared" si="37"/>
        <v>56.21468926553672</v>
      </c>
      <c r="AH107" s="5" t="s">
        <v>46</v>
      </c>
      <c r="AI107">
        <v>1330</v>
      </c>
      <c r="AJ107">
        <v>2124</v>
      </c>
      <c r="AK107">
        <v>62.61770244821092</v>
      </c>
      <c r="AL107" s="10">
        <f t="shared" si="38"/>
        <v>3.2080947911988744</v>
      </c>
      <c r="AM107">
        <v>1114</v>
      </c>
      <c r="AN107">
        <v>2124</v>
      </c>
      <c r="AO107">
        <v>52.448210922787197</v>
      </c>
      <c r="AP107" s="10">
        <f t="shared" si="39"/>
        <v>7.2376529515583456</v>
      </c>
    </row>
    <row r="108" spans="1:45" ht="19" x14ac:dyDescent="0.25">
      <c r="A108" t="s">
        <v>15</v>
      </c>
      <c r="B108" s="1">
        <v>1024</v>
      </c>
      <c r="C108" s="1">
        <v>2124</v>
      </c>
      <c r="D108" s="1"/>
      <c r="E108" s="1"/>
      <c r="F108" s="1"/>
      <c r="G108" s="1"/>
      <c r="H108" s="1"/>
      <c r="I108" s="1"/>
      <c r="J108" s="1"/>
      <c r="K108" s="1"/>
      <c r="M108">
        <f t="shared" si="32"/>
        <v>1024</v>
      </c>
      <c r="N108">
        <f t="shared" si="33"/>
        <v>2124</v>
      </c>
      <c r="O108">
        <f t="shared" si="36"/>
        <v>48.210922787193972</v>
      </c>
      <c r="Q108" t="s">
        <v>15</v>
      </c>
      <c r="R108" s="1">
        <v>869</v>
      </c>
      <c r="S108" s="1">
        <v>2124</v>
      </c>
      <c r="T108" s="1"/>
      <c r="U108" s="1"/>
      <c r="V108" s="1"/>
      <c r="W108" s="1"/>
      <c r="X108" s="1"/>
      <c r="Y108" s="1"/>
      <c r="Z108" s="1"/>
      <c r="AA108" s="1"/>
      <c r="AC108">
        <f t="shared" si="34"/>
        <v>869</v>
      </c>
      <c r="AD108">
        <f t="shared" si="35"/>
        <v>2124</v>
      </c>
      <c r="AE108">
        <f t="shared" si="37"/>
        <v>40.913370998116761</v>
      </c>
      <c r="AH108" s="5" t="s">
        <v>47</v>
      </c>
      <c r="AI108">
        <v>1562</v>
      </c>
      <c r="AJ108">
        <v>2124</v>
      </c>
      <c r="AK108">
        <v>73.540489642184554</v>
      </c>
      <c r="AL108" s="10">
        <f t="shared" si="38"/>
        <v>0.75746371336042273</v>
      </c>
      <c r="AM108">
        <v>1348</v>
      </c>
      <c r="AN108">
        <v>2124</v>
      </c>
      <c r="AO108">
        <v>63.465160075329564</v>
      </c>
      <c r="AP108" s="10">
        <f t="shared" si="39"/>
        <v>1.7260187284146866</v>
      </c>
    </row>
    <row r="109" spans="1:45" ht="19" x14ac:dyDescent="0.25">
      <c r="A109" t="s">
        <v>10</v>
      </c>
      <c r="B109" s="1">
        <v>1282</v>
      </c>
      <c r="C109" s="1">
        <v>2124</v>
      </c>
      <c r="D109" s="1"/>
      <c r="E109" s="1"/>
      <c r="F109" s="1"/>
      <c r="G109" s="1"/>
      <c r="H109" s="1"/>
      <c r="I109" s="1"/>
      <c r="J109" s="1"/>
      <c r="K109" s="1"/>
      <c r="M109">
        <f t="shared" si="32"/>
        <v>1282</v>
      </c>
      <c r="N109">
        <f t="shared" si="33"/>
        <v>2124</v>
      </c>
      <c r="O109">
        <f t="shared" si="36"/>
        <v>60.357815442561204</v>
      </c>
      <c r="Q109" t="s">
        <v>10</v>
      </c>
      <c r="R109" s="1">
        <v>1085</v>
      </c>
      <c r="S109" s="1">
        <v>2124</v>
      </c>
      <c r="T109" s="1"/>
      <c r="U109" s="1"/>
      <c r="V109" s="1"/>
      <c r="W109" s="1"/>
      <c r="X109" s="1"/>
      <c r="Y109" s="1"/>
      <c r="Z109" s="1"/>
      <c r="AA109" s="1"/>
      <c r="AC109">
        <f t="shared" si="34"/>
        <v>1085</v>
      </c>
      <c r="AD109">
        <f t="shared" si="35"/>
        <v>2124</v>
      </c>
      <c r="AE109">
        <f t="shared" si="37"/>
        <v>51.082862523540484</v>
      </c>
      <c r="AH109" s="5" t="s">
        <v>48</v>
      </c>
      <c r="AI109">
        <v>1554</v>
      </c>
      <c r="AJ109">
        <v>2124</v>
      </c>
      <c r="AK109">
        <v>73.163841807909606</v>
      </c>
      <c r="AL109" s="10">
        <f t="shared" si="38"/>
        <v>0.27737665948686185</v>
      </c>
      <c r="AM109">
        <v>1276</v>
      </c>
      <c r="AN109">
        <v>2124</v>
      </c>
      <c r="AO109">
        <v>60.075329566854997</v>
      </c>
      <c r="AP109" s="10">
        <f t="shared" si="39"/>
        <v>3.9894015135828838</v>
      </c>
    </row>
    <row r="110" spans="1:45" ht="19" x14ac:dyDescent="0.25">
      <c r="A110" t="s">
        <v>5</v>
      </c>
      <c r="B110" s="1">
        <v>1397</v>
      </c>
      <c r="C110" s="1">
        <v>2124</v>
      </c>
      <c r="D110" s="1"/>
      <c r="E110" s="1"/>
      <c r="F110" s="1"/>
      <c r="G110" s="1"/>
      <c r="H110" s="1"/>
      <c r="I110" s="1"/>
      <c r="J110" s="1"/>
      <c r="K110" s="1"/>
      <c r="M110">
        <f t="shared" si="32"/>
        <v>1397</v>
      </c>
      <c r="N110">
        <f t="shared" si="33"/>
        <v>2124</v>
      </c>
      <c r="O110">
        <f t="shared" si="36"/>
        <v>65.772128060263654</v>
      </c>
      <c r="Q110" t="s">
        <v>5</v>
      </c>
      <c r="R110" s="1">
        <v>1166</v>
      </c>
      <c r="S110" s="1">
        <v>2124</v>
      </c>
      <c r="T110" s="1"/>
      <c r="U110" s="1"/>
      <c r="V110" s="1"/>
      <c r="W110" s="1"/>
      <c r="X110" s="1"/>
      <c r="Y110" s="1"/>
      <c r="Z110" s="1"/>
      <c r="AA110" s="1"/>
      <c r="AC110">
        <f t="shared" si="34"/>
        <v>1166</v>
      </c>
      <c r="AD110">
        <f t="shared" si="35"/>
        <v>2124</v>
      </c>
      <c r="AE110">
        <f t="shared" si="37"/>
        <v>54.89642184557438</v>
      </c>
      <c r="AH110" s="5" t="s">
        <v>49</v>
      </c>
      <c r="AI110">
        <v>1523</v>
      </c>
      <c r="AJ110">
        <v>2124</v>
      </c>
      <c r="AK110">
        <v>71.704331450094159</v>
      </c>
      <c r="AL110" s="10">
        <f t="shared" si="38"/>
        <v>1.5940978692775616</v>
      </c>
      <c r="AM110">
        <v>1285</v>
      </c>
      <c r="AN110">
        <v>2124</v>
      </c>
      <c r="AO110">
        <v>60.499058380414318</v>
      </c>
      <c r="AP110" s="10">
        <f t="shared" si="39"/>
        <v>3.6925963871566765</v>
      </c>
    </row>
    <row r="111" spans="1:45" ht="19" x14ac:dyDescent="0.25">
      <c r="A111" t="s">
        <v>14</v>
      </c>
      <c r="B111" s="1">
        <v>1336</v>
      </c>
      <c r="C111" s="1">
        <v>2124</v>
      </c>
      <c r="D111" s="1"/>
      <c r="E111" s="1"/>
      <c r="F111" s="1"/>
      <c r="G111" s="1"/>
      <c r="H111" s="1"/>
      <c r="I111" s="1"/>
      <c r="J111" s="1"/>
      <c r="K111" s="1"/>
      <c r="M111">
        <f t="shared" si="32"/>
        <v>1336</v>
      </c>
      <c r="N111">
        <f t="shared" si="33"/>
        <v>2124</v>
      </c>
      <c r="O111">
        <f t="shared" si="36"/>
        <v>62.900188323917142</v>
      </c>
      <c r="Q111" t="s">
        <v>14</v>
      </c>
      <c r="R111" s="1">
        <v>852</v>
      </c>
      <c r="S111" s="1">
        <v>2124</v>
      </c>
      <c r="T111" s="1"/>
      <c r="U111" s="1"/>
      <c r="V111" s="1"/>
      <c r="W111" s="1"/>
      <c r="X111" s="1"/>
      <c r="Y111" s="1"/>
      <c r="Z111" s="1"/>
      <c r="AA111" s="1"/>
      <c r="AC111">
        <f t="shared" si="34"/>
        <v>852</v>
      </c>
      <c r="AD111">
        <f t="shared" si="35"/>
        <v>2124</v>
      </c>
      <c r="AE111">
        <f t="shared" si="37"/>
        <v>40.112994350282491</v>
      </c>
      <c r="AH111" s="5" t="s">
        <v>50</v>
      </c>
      <c r="AI111">
        <v>1397</v>
      </c>
      <c r="AJ111">
        <v>2124</v>
      </c>
      <c r="AK111">
        <v>65.772128060263654</v>
      </c>
      <c r="AL111" s="10">
        <f t="shared" si="38"/>
        <v>1.291175128693979</v>
      </c>
      <c r="AM111">
        <v>1166</v>
      </c>
      <c r="AN111">
        <v>2124</v>
      </c>
      <c r="AO111">
        <v>54.89642184557438</v>
      </c>
      <c r="AP111" s="10">
        <f t="shared" si="39"/>
        <v>4.3610745846969152</v>
      </c>
    </row>
    <row r="112" spans="1:45" ht="19" x14ac:dyDescent="0.25">
      <c r="A112" t="s">
        <v>9</v>
      </c>
      <c r="B112" s="1">
        <v>1434</v>
      </c>
      <c r="C112" s="1">
        <v>2124</v>
      </c>
      <c r="D112" s="1"/>
      <c r="E112" s="1"/>
      <c r="F112" s="1"/>
      <c r="G112" s="1"/>
      <c r="H112" s="1"/>
      <c r="I112" s="1"/>
      <c r="J112" s="1"/>
      <c r="K112" s="1"/>
      <c r="M112">
        <f t="shared" si="32"/>
        <v>1434</v>
      </c>
      <c r="N112">
        <f t="shared" si="33"/>
        <v>2124</v>
      </c>
      <c r="O112">
        <f t="shared" si="36"/>
        <v>67.514124293785315</v>
      </c>
      <c r="Q112" t="s">
        <v>9</v>
      </c>
      <c r="R112" s="1">
        <v>1122</v>
      </c>
      <c r="S112" s="1">
        <v>2124</v>
      </c>
      <c r="T112" s="1"/>
      <c r="U112" s="1"/>
      <c r="V112" s="1"/>
      <c r="W112" s="1"/>
      <c r="X112" s="1"/>
      <c r="Y112" s="1"/>
      <c r="Z112" s="1"/>
      <c r="AA112" s="1"/>
      <c r="AC112">
        <f t="shared" si="34"/>
        <v>1122</v>
      </c>
      <c r="AD112">
        <f t="shared" si="35"/>
        <v>2124</v>
      </c>
      <c r="AE112">
        <f t="shared" si="37"/>
        <v>52.824858757062145</v>
      </c>
      <c r="AH112" s="5" t="s">
        <v>53</v>
      </c>
      <c r="AI112">
        <v>1282</v>
      </c>
      <c r="AJ112">
        <v>2124</v>
      </c>
      <c r="AK112">
        <v>60.357815442561204</v>
      </c>
      <c r="AL112" s="10">
        <f t="shared" si="38"/>
        <v>0.32757246795759443</v>
      </c>
      <c r="AM112">
        <v>1085</v>
      </c>
      <c r="AN112">
        <v>2124</v>
      </c>
      <c r="AO112">
        <v>51.082862523540484</v>
      </c>
      <c r="AP112" s="10">
        <f t="shared" si="39"/>
        <v>2.7169153600070359</v>
      </c>
    </row>
    <row r="113" spans="1:42" ht="19" x14ac:dyDescent="0.25">
      <c r="A113" t="s">
        <v>4</v>
      </c>
      <c r="B113" s="1">
        <v>1446</v>
      </c>
      <c r="C113" s="1">
        <v>2124</v>
      </c>
      <c r="D113" s="1"/>
      <c r="E113" s="1"/>
      <c r="F113" s="1"/>
      <c r="G113" s="1"/>
      <c r="H113" s="1"/>
      <c r="I113" s="1"/>
      <c r="J113" s="1"/>
      <c r="K113" s="1"/>
      <c r="M113">
        <f t="shared" si="32"/>
        <v>1446</v>
      </c>
      <c r="N113">
        <f t="shared" si="33"/>
        <v>2124</v>
      </c>
      <c r="O113">
        <f t="shared" si="36"/>
        <v>68.079096045197744</v>
      </c>
      <c r="Q113" t="s">
        <v>4</v>
      </c>
      <c r="R113" s="1">
        <v>1249</v>
      </c>
      <c r="S113" s="1">
        <v>2124</v>
      </c>
      <c r="T113" s="1"/>
      <c r="U113" s="1"/>
      <c r="V113" s="1"/>
      <c r="W113" s="1"/>
      <c r="X113" s="1"/>
      <c r="Y113" s="1"/>
      <c r="Z113" s="1"/>
      <c r="AA113" s="1"/>
      <c r="AC113">
        <f>R113+T113+V113+X113+Z113</f>
        <v>1249</v>
      </c>
      <c r="AD113">
        <f>S113+U113+W113</f>
        <v>2124</v>
      </c>
      <c r="AE113">
        <f t="shared" si="37"/>
        <v>58.804143126177024</v>
      </c>
      <c r="AH113" s="5" t="s">
        <v>54</v>
      </c>
      <c r="AI113">
        <v>1024</v>
      </c>
      <c r="AJ113">
        <v>2124</v>
      </c>
      <c r="AK113">
        <v>48.210922787193972</v>
      </c>
      <c r="AL113" s="10">
        <f t="shared" si="38"/>
        <v>5.1604876522792935</v>
      </c>
      <c r="AM113">
        <v>869</v>
      </c>
      <c r="AN113">
        <v>2124</v>
      </c>
      <c r="AO113">
        <v>40.913370998116761</v>
      </c>
      <c r="AP113" s="10">
        <f t="shared" si="39"/>
        <v>7.4762847213818944</v>
      </c>
    </row>
    <row r="117" spans="1:42" x14ac:dyDescent="0.2">
      <c r="A117" t="s">
        <v>37</v>
      </c>
    </row>
    <row r="118" spans="1:42" x14ac:dyDescent="0.2">
      <c r="A118" s="8" t="s">
        <v>19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Q118" s="8" t="s">
        <v>20</v>
      </c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H118" s="6"/>
      <c r="AI118" s="6"/>
      <c r="AJ118" s="6"/>
      <c r="AK118" s="6"/>
      <c r="AL118" s="6"/>
      <c r="AM118" s="6"/>
      <c r="AN118" s="6"/>
      <c r="AO118" s="6"/>
      <c r="AP118" s="6"/>
    </row>
    <row r="119" spans="1:42" x14ac:dyDescent="0.2">
      <c r="A119" s="2"/>
      <c r="B119" s="9" t="s">
        <v>22</v>
      </c>
      <c r="C119" s="9"/>
      <c r="D119" s="9" t="s">
        <v>23</v>
      </c>
      <c r="E119" s="9"/>
      <c r="F119" s="9" t="s">
        <v>24</v>
      </c>
      <c r="G119" s="9"/>
      <c r="H119" s="9" t="s">
        <v>25</v>
      </c>
      <c r="I119" s="9"/>
      <c r="J119" s="9" t="s">
        <v>26</v>
      </c>
      <c r="K119" s="9"/>
      <c r="L119" s="2"/>
      <c r="M119" s="2"/>
      <c r="N119" s="2"/>
      <c r="O119" s="2"/>
      <c r="Q119" s="2"/>
      <c r="R119" s="9" t="s">
        <v>22</v>
      </c>
      <c r="S119" s="9"/>
      <c r="T119" s="9" t="s">
        <v>23</v>
      </c>
      <c r="U119" s="9"/>
      <c r="V119" s="9" t="s">
        <v>24</v>
      </c>
      <c r="W119" s="9"/>
      <c r="X119" s="9" t="s">
        <v>25</v>
      </c>
      <c r="Y119" s="9"/>
      <c r="Z119" s="9" t="s">
        <v>26</v>
      </c>
      <c r="AA119" s="9"/>
      <c r="AB119" s="2"/>
      <c r="AC119" s="2"/>
      <c r="AD119" s="2"/>
      <c r="AE119" s="2"/>
      <c r="AI119" s="8" t="s">
        <v>52</v>
      </c>
      <c r="AJ119" s="8"/>
      <c r="AK119" s="8"/>
      <c r="AL119" s="8"/>
      <c r="AM119" s="7" t="s">
        <v>20</v>
      </c>
      <c r="AN119" s="7"/>
      <c r="AO119" s="7"/>
      <c r="AP119" s="7"/>
    </row>
    <row r="120" spans="1:42" x14ac:dyDescent="0.2">
      <c r="B120" t="s">
        <v>16</v>
      </c>
      <c r="C120" t="s">
        <v>17</v>
      </c>
      <c r="D120" t="s">
        <v>16</v>
      </c>
      <c r="E120" t="s">
        <v>17</v>
      </c>
      <c r="F120" t="s">
        <v>16</v>
      </c>
      <c r="G120" t="s">
        <v>17</v>
      </c>
      <c r="H120" t="s">
        <v>16</v>
      </c>
      <c r="I120" t="s">
        <v>17</v>
      </c>
      <c r="J120" t="s">
        <v>16</v>
      </c>
      <c r="K120" t="s">
        <v>17</v>
      </c>
      <c r="M120" t="s">
        <v>16</v>
      </c>
      <c r="N120" t="s">
        <v>17</v>
      </c>
      <c r="O120" t="s">
        <v>18</v>
      </c>
      <c r="R120" t="s">
        <v>16</v>
      </c>
      <c r="S120" t="s">
        <v>17</v>
      </c>
      <c r="T120" t="s">
        <v>16</v>
      </c>
      <c r="U120" t="s">
        <v>17</v>
      </c>
      <c r="V120" t="s">
        <v>16</v>
      </c>
      <c r="W120" t="s">
        <v>17</v>
      </c>
      <c r="X120" t="s">
        <v>16</v>
      </c>
      <c r="Y120" t="s">
        <v>17</v>
      </c>
      <c r="Z120" t="s">
        <v>16</v>
      </c>
      <c r="AA120" t="s">
        <v>17</v>
      </c>
      <c r="AC120" t="s">
        <v>16</v>
      </c>
      <c r="AD120" t="s">
        <v>17</v>
      </c>
      <c r="AE120" t="s">
        <v>18</v>
      </c>
      <c r="AI120" t="s">
        <v>16</v>
      </c>
      <c r="AJ120" t="s">
        <v>17</v>
      </c>
      <c r="AK120" t="s">
        <v>18</v>
      </c>
      <c r="AL120" t="s">
        <v>60</v>
      </c>
      <c r="AM120" t="s">
        <v>16</v>
      </c>
      <c r="AN120" t="s">
        <v>17</v>
      </c>
      <c r="AO120" t="s">
        <v>18</v>
      </c>
      <c r="AP120" t="s">
        <v>60</v>
      </c>
    </row>
    <row r="121" spans="1:42" ht="19" x14ac:dyDescent="0.25">
      <c r="A121" t="s">
        <v>0</v>
      </c>
      <c r="B121" s="1">
        <v>150</v>
      </c>
      <c r="C121" s="1">
        <v>200</v>
      </c>
      <c r="D121" s="1"/>
      <c r="E121" s="3"/>
      <c r="F121" s="1"/>
      <c r="G121" s="3"/>
      <c r="H121" s="1"/>
      <c r="I121" s="3"/>
      <c r="J121" s="1"/>
      <c r="K121" s="1"/>
      <c r="M121">
        <f t="shared" ref="M121:M136" si="40">B121+D121+F121+H121+J121</f>
        <v>150</v>
      </c>
      <c r="N121">
        <f t="shared" ref="N121:N136" si="41">C121+E121+G121+I121+K121</f>
        <v>200</v>
      </c>
      <c r="O121">
        <f>M121/N121*100</f>
        <v>75</v>
      </c>
      <c r="Q121" t="s">
        <v>0</v>
      </c>
      <c r="R121" s="3">
        <v>140</v>
      </c>
      <c r="S121" s="1">
        <v>200</v>
      </c>
      <c r="T121" s="1"/>
      <c r="U121" s="3"/>
      <c r="V121" s="1"/>
      <c r="W121" s="3"/>
      <c r="X121" s="1"/>
      <c r="Y121" s="3"/>
      <c r="Z121" s="1"/>
      <c r="AA121" s="3"/>
      <c r="AC121">
        <f t="shared" ref="AC121:AC135" si="42">R121+T121+V121+X121+Z121</f>
        <v>140</v>
      </c>
      <c r="AD121">
        <f t="shared" ref="AD121:AD135" si="43">S121+U121+W121+Y121+AA121</f>
        <v>200</v>
      </c>
      <c r="AE121">
        <f>AC121/AD121*100</f>
        <v>70</v>
      </c>
      <c r="AH121" s="5" t="s">
        <v>51</v>
      </c>
      <c r="AI121">
        <v>150</v>
      </c>
      <c r="AJ121">
        <v>200</v>
      </c>
      <c r="AK121">
        <v>75</v>
      </c>
      <c r="AL121" s="11">
        <f>AY4-AK121</f>
        <v>-1.796763445978101</v>
      </c>
      <c r="AM121">
        <v>140</v>
      </c>
      <c r="AN121">
        <v>200</v>
      </c>
      <c r="AO121">
        <v>70</v>
      </c>
      <c r="AP121" s="11">
        <f>AZ4-AO121</f>
        <v>-5.6972870061875227</v>
      </c>
    </row>
    <row r="122" spans="1:42" ht="19" x14ac:dyDescent="0.25">
      <c r="A122" t="s">
        <v>11</v>
      </c>
      <c r="B122" s="1">
        <v>268</v>
      </c>
      <c r="C122" s="1">
        <v>600</v>
      </c>
      <c r="D122" s="1"/>
      <c r="E122" s="1"/>
      <c r="F122" s="1"/>
      <c r="G122" s="1"/>
      <c r="H122" s="1"/>
      <c r="I122" s="1"/>
      <c r="J122" s="1"/>
      <c r="K122" s="1"/>
      <c r="M122">
        <f t="shared" si="40"/>
        <v>268</v>
      </c>
      <c r="N122">
        <f t="shared" si="41"/>
        <v>600</v>
      </c>
      <c r="O122">
        <f t="shared" ref="O122:O136" si="44">M122/N122*100</f>
        <v>44.666666666666664</v>
      </c>
      <c r="Q122" t="s">
        <v>11</v>
      </c>
      <c r="R122" s="1">
        <v>212</v>
      </c>
      <c r="S122" s="1">
        <v>600</v>
      </c>
      <c r="T122" s="1"/>
      <c r="U122" s="1"/>
      <c r="V122" s="1"/>
      <c r="W122" s="1"/>
      <c r="X122" s="1"/>
      <c r="Y122" s="1"/>
      <c r="Z122" s="1"/>
      <c r="AA122" s="1"/>
      <c r="AC122">
        <f t="shared" si="42"/>
        <v>212</v>
      </c>
      <c r="AD122">
        <f t="shared" si="43"/>
        <v>600</v>
      </c>
      <c r="AE122">
        <f t="shared" ref="AE122:AE136" si="45">AC122/AD122*100</f>
        <v>35.333333333333336</v>
      </c>
      <c r="AH122" s="5" t="s">
        <v>38</v>
      </c>
      <c r="AI122">
        <v>409</v>
      </c>
      <c r="AJ122">
        <v>600</v>
      </c>
      <c r="AK122">
        <v>68.166666666666657</v>
      </c>
      <c r="AL122" s="11">
        <f t="shared" ref="AL122:AL136" si="46">AY5-AK122</f>
        <v>-1.2778835475170496</v>
      </c>
      <c r="AM122">
        <v>374</v>
      </c>
      <c r="AN122">
        <v>600</v>
      </c>
      <c r="AO122">
        <v>62.333333333333329</v>
      </c>
      <c r="AP122" s="11">
        <f t="shared" ref="AP122:AP136" si="47">AZ5-AO122</f>
        <v>-5.5667142630493345</v>
      </c>
    </row>
    <row r="123" spans="1:42" ht="19" x14ac:dyDescent="0.25">
      <c r="A123" t="s">
        <v>6</v>
      </c>
      <c r="B123" s="1">
        <v>329</v>
      </c>
      <c r="C123" s="1">
        <v>600</v>
      </c>
      <c r="D123" s="1"/>
      <c r="E123" s="1"/>
      <c r="F123" s="1"/>
      <c r="G123" s="1"/>
      <c r="H123" s="1"/>
      <c r="I123" s="1"/>
      <c r="J123" s="1"/>
      <c r="K123" s="1"/>
      <c r="M123">
        <f t="shared" si="40"/>
        <v>329</v>
      </c>
      <c r="N123">
        <f t="shared" si="41"/>
        <v>600</v>
      </c>
      <c r="O123">
        <f t="shared" si="44"/>
        <v>54.833333333333336</v>
      </c>
      <c r="Q123" t="s">
        <v>6</v>
      </c>
      <c r="R123" s="1">
        <v>279</v>
      </c>
      <c r="S123" s="1">
        <v>600</v>
      </c>
      <c r="T123" s="1"/>
      <c r="U123" s="1"/>
      <c r="V123" s="1"/>
      <c r="W123" s="1"/>
      <c r="X123" s="1"/>
      <c r="Y123" s="1"/>
      <c r="Z123" s="1"/>
      <c r="AA123" s="1"/>
      <c r="AC123">
        <f t="shared" si="42"/>
        <v>279</v>
      </c>
      <c r="AD123">
        <f t="shared" si="43"/>
        <v>600</v>
      </c>
      <c r="AE123">
        <f t="shared" si="45"/>
        <v>46.5</v>
      </c>
      <c r="AH123" s="5" t="s">
        <v>39</v>
      </c>
      <c r="AI123">
        <v>329</v>
      </c>
      <c r="AJ123">
        <v>600</v>
      </c>
      <c r="AK123">
        <v>54.833333333333336</v>
      </c>
      <c r="AL123" s="11">
        <f t="shared" si="46"/>
        <v>-2.8422179914326549</v>
      </c>
      <c r="AM123">
        <v>279</v>
      </c>
      <c r="AN123">
        <v>600</v>
      </c>
      <c r="AO123">
        <v>46.5</v>
      </c>
      <c r="AP123" s="11">
        <f t="shared" si="47"/>
        <v>-4.2026812628906853</v>
      </c>
    </row>
    <row r="124" spans="1:42" ht="19" x14ac:dyDescent="0.25">
      <c r="A124" t="s">
        <v>1</v>
      </c>
      <c r="B124" s="1">
        <v>409</v>
      </c>
      <c r="C124" s="1">
        <v>600</v>
      </c>
      <c r="D124" s="1"/>
      <c r="E124" s="1"/>
      <c r="F124" s="1"/>
      <c r="G124" s="1"/>
      <c r="H124" s="1"/>
      <c r="I124" s="1"/>
      <c r="J124" s="1"/>
      <c r="K124" s="1"/>
      <c r="M124">
        <f t="shared" si="40"/>
        <v>409</v>
      </c>
      <c r="N124">
        <f t="shared" si="41"/>
        <v>600</v>
      </c>
      <c r="O124">
        <f t="shared" si="44"/>
        <v>68.166666666666657</v>
      </c>
      <c r="Q124" t="s">
        <v>1</v>
      </c>
      <c r="R124" s="1">
        <v>374</v>
      </c>
      <c r="S124" s="1">
        <v>600</v>
      </c>
      <c r="T124" s="1"/>
      <c r="U124" s="1"/>
      <c r="V124" s="1"/>
      <c r="W124" s="1"/>
      <c r="X124" s="1"/>
      <c r="Y124" s="1"/>
      <c r="Z124" s="1"/>
      <c r="AA124" s="1"/>
      <c r="AC124">
        <f t="shared" si="42"/>
        <v>374</v>
      </c>
      <c r="AD124">
        <f t="shared" si="43"/>
        <v>600</v>
      </c>
      <c r="AE124">
        <f t="shared" si="45"/>
        <v>62.333333333333329</v>
      </c>
      <c r="AH124" s="5" t="s">
        <v>40</v>
      </c>
      <c r="AI124">
        <v>268</v>
      </c>
      <c r="AJ124">
        <v>600</v>
      </c>
      <c r="AK124">
        <v>44.666666666666664</v>
      </c>
      <c r="AL124" s="11">
        <f t="shared" si="46"/>
        <v>-4.6539742979533543</v>
      </c>
      <c r="AM124">
        <v>212</v>
      </c>
      <c r="AN124">
        <v>600</v>
      </c>
      <c r="AO124">
        <v>35.333333333333336</v>
      </c>
      <c r="AP124" s="11">
        <f t="shared" si="47"/>
        <v>-5.3428541203850664</v>
      </c>
    </row>
    <row r="125" spans="1:42" ht="19" x14ac:dyDescent="0.25">
      <c r="A125" t="s">
        <v>27</v>
      </c>
      <c r="B125" s="1">
        <v>449</v>
      </c>
      <c r="C125" s="1">
        <v>600</v>
      </c>
      <c r="D125" s="1"/>
      <c r="E125" s="1"/>
      <c r="F125" s="1"/>
      <c r="G125" s="1"/>
      <c r="H125" s="1"/>
      <c r="I125" s="1"/>
      <c r="J125" s="1"/>
      <c r="K125" s="1"/>
      <c r="M125">
        <f t="shared" si="40"/>
        <v>449</v>
      </c>
      <c r="N125">
        <f t="shared" si="41"/>
        <v>600</v>
      </c>
      <c r="O125">
        <f t="shared" si="44"/>
        <v>74.833333333333329</v>
      </c>
      <c r="Q125" t="s">
        <v>27</v>
      </c>
      <c r="R125" s="1">
        <v>402</v>
      </c>
      <c r="S125" s="1">
        <v>600</v>
      </c>
      <c r="T125" s="1"/>
      <c r="U125" s="1"/>
      <c r="V125" s="1"/>
      <c r="W125" s="1"/>
      <c r="X125" s="1"/>
      <c r="Y125" s="1"/>
      <c r="Z125" s="1"/>
      <c r="AA125" s="1"/>
      <c r="AC125">
        <f t="shared" si="42"/>
        <v>402</v>
      </c>
      <c r="AD125">
        <f t="shared" si="43"/>
        <v>600</v>
      </c>
      <c r="AE125">
        <f t="shared" si="45"/>
        <v>67</v>
      </c>
      <c r="AH125" s="5" t="s">
        <v>41</v>
      </c>
      <c r="AI125">
        <v>426</v>
      </c>
      <c r="AJ125">
        <v>600</v>
      </c>
      <c r="AK125">
        <v>71</v>
      </c>
      <c r="AL125" s="11">
        <f t="shared" si="46"/>
        <v>-0.85879739806442501</v>
      </c>
      <c r="AM125">
        <v>378</v>
      </c>
      <c r="AN125">
        <v>600</v>
      </c>
      <c r="AO125">
        <v>63</v>
      </c>
      <c r="AP125" s="11">
        <f t="shared" si="47"/>
        <v>-1.3309535141995852</v>
      </c>
    </row>
    <row r="126" spans="1:42" ht="19" x14ac:dyDescent="0.25">
      <c r="A126" t="s">
        <v>7</v>
      </c>
      <c r="B126" s="1">
        <v>453</v>
      </c>
      <c r="C126" s="1">
        <v>600</v>
      </c>
      <c r="D126" s="1"/>
      <c r="E126" s="1"/>
      <c r="F126" s="1"/>
      <c r="G126" s="1"/>
      <c r="H126" s="1"/>
      <c r="I126" s="1"/>
      <c r="J126" s="1"/>
      <c r="K126" s="1"/>
      <c r="M126">
        <f t="shared" si="40"/>
        <v>453</v>
      </c>
      <c r="N126">
        <f t="shared" si="41"/>
        <v>600</v>
      </c>
      <c r="O126">
        <f t="shared" si="44"/>
        <v>75.5</v>
      </c>
      <c r="Q126" t="s">
        <v>7</v>
      </c>
      <c r="R126" s="1">
        <v>400</v>
      </c>
      <c r="S126" s="1">
        <v>600</v>
      </c>
      <c r="T126" s="1"/>
      <c r="U126" s="1"/>
      <c r="V126" s="1"/>
      <c r="W126" s="1"/>
      <c r="X126" s="1"/>
      <c r="Y126" s="1"/>
      <c r="Z126" s="1"/>
      <c r="AA126" s="1"/>
      <c r="AC126">
        <f t="shared" si="42"/>
        <v>400</v>
      </c>
      <c r="AD126">
        <f t="shared" si="43"/>
        <v>600</v>
      </c>
      <c r="AE126">
        <f t="shared" si="45"/>
        <v>66.666666666666657</v>
      </c>
      <c r="AH126" s="5" t="s">
        <v>42</v>
      </c>
      <c r="AI126">
        <v>408</v>
      </c>
      <c r="AJ126">
        <v>600</v>
      </c>
      <c r="AK126">
        <v>68</v>
      </c>
      <c r="AL126" s="11">
        <f t="shared" si="46"/>
        <v>-1.5713152467079254</v>
      </c>
      <c r="AM126">
        <v>325</v>
      </c>
      <c r="AN126">
        <v>600</v>
      </c>
      <c r="AO126">
        <v>54.166666666666664</v>
      </c>
      <c r="AP126" s="11">
        <f t="shared" si="47"/>
        <v>-0.30342693955258682</v>
      </c>
    </row>
    <row r="127" spans="1:42" ht="19" x14ac:dyDescent="0.25">
      <c r="A127" t="s">
        <v>28</v>
      </c>
      <c r="B127" s="1">
        <v>457</v>
      </c>
      <c r="C127" s="1">
        <v>600</v>
      </c>
      <c r="D127" s="1"/>
      <c r="E127" s="1"/>
      <c r="F127" s="1"/>
      <c r="G127" s="1"/>
      <c r="H127" s="1"/>
      <c r="I127" s="1"/>
      <c r="J127" s="1"/>
      <c r="K127" s="1"/>
      <c r="M127">
        <f t="shared" si="40"/>
        <v>457</v>
      </c>
      <c r="N127">
        <f t="shared" si="41"/>
        <v>600</v>
      </c>
      <c r="O127">
        <f t="shared" si="44"/>
        <v>76.166666666666671</v>
      </c>
      <c r="Q127" t="s">
        <v>28</v>
      </c>
      <c r="R127" s="1">
        <v>408</v>
      </c>
      <c r="S127" s="1">
        <v>600</v>
      </c>
      <c r="T127" s="1"/>
      <c r="U127" s="1"/>
      <c r="V127" s="1"/>
      <c r="W127" s="1"/>
      <c r="X127" s="1"/>
      <c r="Y127" s="1"/>
      <c r="Z127" s="1"/>
      <c r="AA127" s="1"/>
      <c r="AC127">
        <f t="shared" si="42"/>
        <v>408</v>
      </c>
      <c r="AD127">
        <f t="shared" si="43"/>
        <v>600</v>
      </c>
      <c r="AE127">
        <f t="shared" si="45"/>
        <v>68</v>
      </c>
      <c r="AH127" s="5" t="s">
        <v>43</v>
      </c>
      <c r="AI127">
        <v>346</v>
      </c>
      <c r="AJ127">
        <v>600</v>
      </c>
      <c r="AK127">
        <v>57.666666666666664</v>
      </c>
      <c r="AL127" s="10">
        <f t="shared" si="46"/>
        <v>3.5422814532762246</v>
      </c>
      <c r="AM127">
        <v>270</v>
      </c>
      <c r="AN127">
        <v>600</v>
      </c>
      <c r="AO127">
        <v>45</v>
      </c>
      <c r="AP127" s="11">
        <f t="shared" si="47"/>
        <v>-1.0209424083769605</v>
      </c>
    </row>
    <row r="128" spans="1:42" ht="19" x14ac:dyDescent="0.25">
      <c r="A128" t="s">
        <v>13</v>
      </c>
      <c r="B128" s="1">
        <v>388</v>
      </c>
      <c r="C128" s="1">
        <v>600</v>
      </c>
      <c r="D128" s="1"/>
      <c r="E128" s="1"/>
      <c r="F128" s="1"/>
      <c r="G128" s="1"/>
      <c r="H128" s="1"/>
      <c r="I128" s="1"/>
      <c r="J128" s="1"/>
      <c r="K128" s="1"/>
      <c r="M128">
        <f t="shared" si="40"/>
        <v>388</v>
      </c>
      <c r="N128">
        <f t="shared" si="41"/>
        <v>600</v>
      </c>
      <c r="O128">
        <f t="shared" si="44"/>
        <v>64.666666666666657</v>
      </c>
      <c r="Q128" t="s">
        <v>13</v>
      </c>
      <c r="R128" s="1">
        <v>369</v>
      </c>
      <c r="S128" s="1">
        <v>600</v>
      </c>
      <c r="T128" s="1"/>
      <c r="U128" s="1"/>
      <c r="V128" s="1"/>
      <c r="W128" s="1"/>
      <c r="X128" s="1"/>
      <c r="Y128" s="1"/>
      <c r="Z128" s="1"/>
      <c r="AA128" s="1"/>
      <c r="AC128">
        <f t="shared" si="42"/>
        <v>369</v>
      </c>
      <c r="AD128">
        <f t="shared" si="43"/>
        <v>600</v>
      </c>
      <c r="AE128">
        <f t="shared" si="45"/>
        <v>61.5</v>
      </c>
      <c r="AH128" s="5" t="s">
        <v>44</v>
      </c>
      <c r="AI128">
        <v>430</v>
      </c>
      <c r="AJ128">
        <v>600</v>
      </c>
      <c r="AK128">
        <v>71.666666666666671</v>
      </c>
      <c r="AL128" s="11">
        <f t="shared" si="46"/>
        <v>-0.79565286371568789</v>
      </c>
      <c r="AM128">
        <v>375</v>
      </c>
      <c r="AN128">
        <v>600</v>
      </c>
      <c r="AO128">
        <v>62.5</v>
      </c>
      <c r="AP128" s="10">
        <f t="shared" si="47"/>
        <v>1.025305410122165</v>
      </c>
    </row>
    <row r="129" spans="1:42" ht="19" x14ac:dyDescent="0.25">
      <c r="A129" t="s">
        <v>8</v>
      </c>
      <c r="B129" s="1">
        <v>392</v>
      </c>
      <c r="C129" s="1">
        <v>600</v>
      </c>
      <c r="D129" s="1"/>
      <c r="E129" s="1"/>
      <c r="F129" s="1"/>
      <c r="G129" s="1"/>
      <c r="H129" s="1"/>
      <c r="I129" s="1"/>
      <c r="J129" s="1"/>
      <c r="K129" s="1"/>
      <c r="M129">
        <f t="shared" si="40"/>
        <v>392</v>
      </c>
      <c r="N129">
        <f t="shared" si="41"/>
        <v>600</v>
      </c>
      <c r="O129">
        <f t="shared" si="44"/>
        <v>65.333333333333329</v>
      </c>
      <c r="Q129" t="s">
        <v>8</v>
      </c>
      <c r="R129" s="1">
        <v>365</v>
      </c>
      <c r="S129" s="1">
        <v>600</v>
      </c>
      <c r="T129" s="1"/>
      <c r="U129" s="1"/>
      <c r="V129" s="1"/>
      <c r="W129" s="1"/>
      <c r="X129" s="1"/>
      <c r="Y129" s="1"/>
      <c r="Z129" s="1"/>
      <c r="AA129" s="1"/>
      <c r="AC129">
        <f t="shared" si="42"/>
        <v>365</v>
      </c>
      <c r="AD129">
        <f t="shared" si="43"/>
        <v>600</v>
      </c>
      <c r="AE129">
        <f t="shared" si="45"/>
        <v>60.833333333333329</v>
      </c>
      <c r="AH129" s="5" t="s">
        <v>45</v>
      </c>
      <c r="AI129">
        <v>392</v>
      </c>
      <c r="AJ129">
        <v>600</v>
      </c>
      <c r="AK129">
        <v>65.333333333333329</v>
      </c>
      <c r="AL129" s="10">
        <f t="shared" si="46"/>
        <v>2.2535300650483947</v>
      </c>
      <c r="AM129">
        <v>365</v>
      </c>
      <c r="AN129">
        <v>600</v>
      </c>
      <c r="AO129">
        <v>60.833333333333329</v>
      </c>
      <c r="AP129" s="10">
        <f t="shared" si="47"/>
        <v>0.3121529430429959</v>
      </c>
    </row>
    <row r="130" spans="1:42" ht="19" x14ac:dyDescent="0.25">
      <c r="A130" t="s">
        <v>3</v>
      </c>
      <c r="B130" s="1">
        <v>430</v>
      </c>
      <c r="C130" s="1">
        <v>600</v>
      </c>
      <c r="D130" s="1"/>
      <c r="E130" s="1"/>
      <c r="F130" s="1"/>
      <c r="G130" s="1"/>
      <c r="H130" s="1"/>
      <c r="I130" s="1"/>
      <c r="J130" s="1"/>
      <c r="K130" s="1"/>
      <c r="M130">
        <f t="shared" si="40"/>
        <v>430</v>
      </c>
      <c r="N130">
        <f t="shared" si="41"/>
        <v>600</v>
      </c>
      <c r="O130">
        <f t="shared" si="44"/>
        <v>71.666666666666671</v>
      </c>
      <c r="Q130" t="s">
        <v>3</v>
      </c>
      <c r="R130" s="1">
        <v>375</v>
      </c>
      <c r="S130" s="1">
        <v>600</v>
      </c>
      <c r="T130" s="1"/>
      <c r="U130" s="1"/>
      <c r="V130" s="1"/>
      <c r="W130" s="1"/>
      <c r="X130" s="1"/>
      <c r="Y130" s="1"/>
      <c r="Z130" s="1"/>
      <c r="AA130" s="1"/>
      <c r="AC130">
        <f t="shared" si="42"/>
        <v>375</v>
      </c>
      <c r="AD130">
        <f t="shared" si="43"/>
        <v>600</v>
      </c>
      <c r="AE130">
        <f t="shared" si="45"/>
        <v>62.5</v>
      </c>
      <c r="AH130" s="5" t="s">
        <v>46</v>
      </c>
      <c r="AI130">
        <v>388</v>
      </c>
      <c r="AJ130">
        <v>600</v>
      </c>
      <c r="AK130">
        <v>64.666666666666657</v>
      </c>
      <c r="AL130" s="10">
        <f t="shared" si="46"/>
        <v>1.1591305727431376</v>
      </c>
      <c r="AM130">
        <v>369</v>
      </c>
      <c r="AN130">
        <v>600</v>
      </c>
      <c r="AO130">
        <v>61.5</v>
      </c>
      <c r="AP130" s="11">
        <f t="shared" si="47"/>
        <v>-1.814136125654457</v>
      </c>
    </row>
    <row r="131" spans="1:42" ht="19" x14ac:dyDescent="0.25">
      <c r="A131" t="s">
        <v>15</v>
      </c>
      <c r="B131" s="1">
        <v>318</v>
      </c>
      <c r="C131" s="1">
        <v>600</v>
      </c>
      <c r="D131" s="1"/>
      <c r="E131" s="1"/>
      <c r="F131" s="1"/>
      <c r="G131" s="1"/>
      <c r="H131" s="1"/>
      <c r="I131" s="1"/>
      <c r="J131" s="1"/>
      <c r="K131" s="1"/>
      <c r="M131">
        <f t="shared" si="40"/>
        <v>318</v>
      </c>
      <c r="N131">
        <f t="shared" si="41"/>
        <v>600</v>
      </c>
      <c r="O131">
        <f t="shared" si="44"/>
        <v>53</v>
      </c>
      <c r="Q131" t="s">
        <v>15</v>
      </c>
      <c r="R131" s="1">
        <v>309</v>
      </c>
      <c r="S131" s="1">
        <v>600</v>
      </c>
      <c r="T131" s="1"/>
      <c r="U131" s="1"/>
      <c r="V131" s="1"/>
      <c r="W131" s="1"/>
      <c r="X131" s="1"/>
      <c r="Y131" s="1"/>
      <c r="Z131" s="1"/>
      <c r="AA131" s="1"/>
      <c r="AC131">
        <f t="shared" si="42"/>
        <v>309</v>
      </c>
      <c r="AD131">
        <f t="shared" si="43"/>
        <v>600</v>
      </c>
      <c r="AE131">
        <f t="shared" si="45"/>
        <v>51.5</v>
      </c>
      <c r="AH131" s="5" t="s">
        <v>47</v>
      </c>
      <c r="AI131">
        <v>457</v>
      </c>
      <c r="AJ131">
        <v>600</v>
      </c>
      <c r="AK131">
        <v>76.166666666666671</v>
      </c>
      <c r="AL131" s="11">
        <f t="shared" si="46"/>
        <v>-1.8687133111216951</v>
      </c>
      <c r="AM131">
        <v>408</v>
      </c>
      <c r="AN131">
        <v>600</v>
      </c>
      <c r="AO131">
        <v>68</v>
      </c>
      <c r="AP131" s="11">
        <f t="shared" si="47"/>
        <v>-2.8088211962557494</v>
      </c>
    </row>
    <row r="132" spans="1:42" ht="19" x14ac:dyDescent="0.25">
      <c r="A132" t="s">
        <v>10</v>
      </c>
      <c r="B132" s="1">
        <v>376</v>
      </c>
      <c r="C132" s="1">
        <v>600</v>
      </c>
      <c r="D132" s="1"/>
      <c r="E132" s="1"/>
      <c r="F132" s="1"/>
      <c r="G132" s="1"/>
      <c r="H132" s="1"/>
      <c r="I132" s="1"/>
      <c r="J132" s="1"/>
      <c r="K132" s="1"/>
      <c r="M132">
        <f t="shared" si="40"/>
        <v>376</v>
      </c>
      <c r="N132">
        <f t="shared" si="41"/>
        <v>600</v>
      </c>
      <c r="O132">
        <f t="shared" si="44"/>
        <v>62.666666666666671</v>
      </c>
      <c r="Q132" t="s">
        <v>10</v>
      </c>
      <c r="R132" s="1">
        <v>350</v>
      </c>
      <c r="S132" s="1">
        <v>600</v>
      </c>
      <c r="T132" s="1"/>
      <c r="U132" s="1"/>
      <c r="V132" s="1"/>
      <c r="W132" s="1"/>
      <c r="X132" s="1"/>
      <c r="Y132" s="1"/>
      <c r="Z132" s="1"/>
      <c r="AA132" s="1"/>
      <c r="AC132">
        <f t="shared" si="42"/>
        <v>350</v>
      </c>
      <c r="AD132">
        <f t="shared" si="43"/>
        <v>600</v>
      </c>
      <c r="AE132">
        <f t="shared" si="45"/>
        <v>58.333333333333336</v>
      </c>
      <c r="AH132" s="5" t="s">
        <v>48</v>
      </c>
      <c r="AI132">
        <v>453</v>
      </c>
      <c r="AJ132">
        <v>600</v>
      </c>
      <c r="AK132">
        <v>75.5</v>
      </c>
      <c r="AL132" s="11">
        <f t="shared" si="46"/>
        <v>-2.0587815326035326</v>
      </c>
      <c r="AM132">
        <v>400</v>
      </c>
      <c r="AN132">
        <v>600</v>
      </c>
      <c r="AO132">
        <v>66.666666666666657</v>
      </c>
      <c r="AP132" s="11">
        <f t="shared" si="47"/>
        <v>-2.6019355862287767</v>
      </c>
    </row>
    <row r="133" spans="1:42" ht="19" x14ac:dyDescent="0.25">
      <c r="A133" t="s">
        <v>5</v>
      </c>
      <c r="B133" s="1">
        <v>418</v>
      </c>
      <c r="C133" s="1">
        <v>600</v>
      </c>
      <c r="D133" s="1"/>
      <c r="E133" s="1"/>
      <c r="F133" s="1"/>
      <c r="G133" s="1"/>
      <c r="H133" s="1"/>
      <c r="I133" s="1"/>
      <c r="J133" s="1"/>
      <c r="K133" s="1"/>
      <c r="M133">
        <f t="shared" si="40"/>
        <v>418</v>
      </c>
      <c r="N133">
        <f t="shared" si="41"/>
        <v>600</v>
      </c>
      <c r="O133">
        <f t="shared" si="44"/>
        <v>69.666666666666671</v>
      </c>
      <c r="Q133" t="s">
        <v>5</v>
      </c>
      <c r="R133" s="1">
        <v>393</v>
      </c>
      <c r="S133" s="1">
        <v>600</v>
      </c>
      <c r="T133" s="1"/>
      <c r="U133" s="1"/>
      <c r="V133" s="1"/>
      <c r="W133" s="1"/>
      <c r="X133" s="1"/>
      <c r="Y133" s="1"/>
      <c r="Z133" s="1"/>
      <c r="AA133" s="1"/>
      <c r="AC133">
        <f t="shared" si="42"/>
        <v>393</v>
      </c>
      <c r="AD133">
        <f t="shared" si="43"/>
        <v>600</v>
      </c>
      <c r="AE133">
        <f t="shared" si="45"/>
        <v>65.5</v>
      </c>
      <c r="AH133" s="5" t="s">
        <v>49</v>
      </c>
      <c r="AI133">
        <v>449</v>
      </c>
      <c r="AJ133">
        <v>600</v>
      </c>
      <c r="AK133">
        <v>74.833333333333329</v>
      </c>
      <c r="AL133" s="11">
        <f t="shared" si="46"/>
        <v>-1.5349040139616079</v>
      </c>
      <c r="AM133">
        <v>402</v>
      </c>
      <c r="AN133">
        <v>600</v>
      </c>
      <c r="AO133">
        <v>67</v>
      </c>
      <c r="AP133" s="11">
        <f t="shared" si="47"/>
        <v>-2.808345232429005</v>
      </c>
    </row>
    <row r="134" spans="1:42" ht="19" x14ac:dyDescent="0.25">
      <c r="A134" t="s">
        <v>14</v>
      </c>
      <c r="B134" s="1">
        <v>346</v>
      </c>
      <c r="C134" s="1">
        <v>600</v>
      </c>
      <c r="D134" s="1"/>
      <c r="E134" s="1"/>
      <c r="F134" s="1"/>
      <c r="G134" s="1"/>
      <c r="H134" s="1"/>
      <c r="I134" s="1"/>
      <c r="J134" s="1"/>
      <c r="K134" s="1"/>
      <c r="M134">
        <f t="shared" si="40"/>
        <v>346</v>
      </c>
      <c r="N134">
        <f t="shared" si="41"/>
        <v>600</v>
      </c>
      <c r="O134">
        <f t="shared" si="44"/>
        <v>57.666666666666664</v>
      </c>
      <c r="Q134" t="s">
        <v>14</v>
      </c>
      <c r="R134" s="1">
        <v>270</v>
      </c>
      <c r="S134" s="1">
        <v>600</v>
      </c>
      <c r="T134" s="1"/>
      <c r="U134" s="1"/>
      <c r="V134" s="1"/>
      <c r="W134" s="1"/>
      <c r="X134" s="1"/>
      <c r="Y134" s="1"/>
      <c r="Z134" s="1"/>
      <c r="AA134" s="1"/>
      <c r="AC134">
        <f t="shared" si="42"/>
        <v>270</v>
      </c>
      <c r="AD134">
        <f t="shared" si="43"/>
        <v>600</v>
      </c>
      <c r="AE134">
        <f t="shared" si="45"/>
        <v>45</v>
      </c>
      <c r="AH134" s="5" t="s">
        <v>50</v>
      </c>
      <c r="AI134">
        <v>418</v>
      </c>
      <c r="AJ134">
        <v>600</v>
      </c>
      <c r="AK134">
        <v>69.666666666666671</v>
      </c>
      <c r="AL134" s="11">
        <f t="shared" si="46"/>
        <v>-2.6033634777090384</v>
      </c>
      <c r="AM134">
        <v>393</v>
      </c>
      <c r="AN134">
        <v>600</v>
      </c>
      <c r="AO134">
        <v>65.5</v>
      </c>
      <c r="AP134" s="11">
        <f t="shared" si="47"/>
        <v>-6.2425035697287043</v>
      </c>
    </row>
    <row r="135" spans="1:42" ht="19" x14ac:dyDescent="0.25">
      <c r="A135" t="s">
        <v>9</v>
      </c>
      <c r="B135" s="1">
        <v>408</v>
      </c>
      <c r="C135" s="1">
        <v>600</v>
      </c>
      <c r="D135" s="1"/>
      <c r="E135" s="1"/>
      <c r="F135" s="1"/>
      <c r="G135" s="1"/>
      <c r="H135" s="1"/>
      <c r="I135" s="1"/>
      <c r="J135" s="1"/>
      <c r="K135" s="1"/>
      <c r="M135">
        <f t="shared" si="40"/>
        <v>408</v>
      </c>
      <c r="N135">
        <f t="shared" si="41"/>
        <v>600</v>
      </c>
      <c r="O135">
        <f t="shared" si="44"/>
        <v>68</v>
      </c>
      <c r="Q135" t="s">
        <v>9</v>
      </c>
      <c r="R135" s="1">
        <v>325</v>
      </c>
      <c r="S135" s="1">
        <v>600</v>
      </c>
      <c r="T135" s="1"/>
      <c r="U135" s="1"/>
      <c r="V135" s="1"/>
      <c r="W135" s="1"/>
      <c r="X135" s="1"/>
      <c r="Y135" s="1"/>
      <c r="Z135" s="1"/>
      <c r="AA135" s="1"/>
      <c r="AC135">
        <f t="shared" si="42"/>
        <v>325</v>
      </c>
      <c r="AD135">
        <f t="shared" si="43"/>
        <v>600</v>
      </c>
      <c r="AE135">
        <f t="shared" si="45"/>
        <v>54.166666666666664</v>
      </c>
      <c r="AH135" s="5" t="s">
        <v>53</v>
      </c>
      <c r="AI135">
        <v>376</v>
      </c>
      <c r="AJ135">
        <v>600</v>
      </c>
      <c r="AK135">
        <v>62.666666666666671</v>
      </c>
      <c r="AL135" s="11">
        <f t="shared" si="46"/>
        <v>-1.9812787561478729</v>
      </c>
      <c r="AM135">
        <v>350</v>
      </c>
      <c r="AN135">
        <v>600</v>
      </c>
      <c r="AO135">
        <v>58.333333333333336</v>
      </c>
      <c r="AP135" s="11">
        <f t="shared" si="47"/>
        <v>-4.5335554497858155</v>
      </c>
    </row>
    <row r="136" spans="1:42" ht="19" x14ac:dyDescent="0.25">
      <c r="A136" t="s">
        <v>4</v>
      </c>
      <c r="B136" s="1">
        <v>426</v>
      </c>
      <c r="C136" s="1">
        <v>600</v>
      </c>
      <c r="D136" s="1"/>
      <c r="E136" s="1"/>
      <c r="F136" s="1"/>
      <c r="G136" s="1"/>
      <c r="H136" s="1"/>
      <c r="I136" s="1"/>
      <c r="J136" s="1"/>
      <c r="K136" s="1"/>
      <c r="M136">
        <f t="shared" si="40"/>
        <v>426</v>
      </c>
      <c r="N136">
        <f t="shared" si="41"/>
        <v>600</v>
      </c>
      <c r="O136">
        <f t="shared" si="44"/>
        <v>71</v>
      </c>
      <c r="Q136" t="s">
        <v>4</v>
      </c>
      <c r="R136" s="1">
        <v>378</v>
      </c>
      <c r="S136" s="1">
        <v>600</v>
      </c>
      <c r="T136" s="1"/>
      <c r="U136" s="1"/>
      <c r="V136" s="1"/>
      <c r="W136" s="1"/>
      <c r="X136" s="1"/>
      <c r="Y136" s="1"/>
      <c r="Z136" s="1"/>
      <c r="AA136" s="1"/>
      <c r="AC136">
        <f>R136+T136+V136+X136+Z136</f>
        <v>378</v>
      </c>
      <c r="AD136">
        <f>S136+U136+W136</f>
        <v>600</v>
      </c>
      <c r="AE136">
        <f t="shared" si="45"/>
        <v>63</v>
      </c>
      <c r="AH136" s="5" t="s">
        <v>54</v>
      </c>
      <c r="AI136">
        <v>318</v>
      </c>
      <c r="AJ136">
        <v>600</v>
      </c>
      <c r="AK136">
        <v>53</v>
      </c>
      <c r="AL136" s="10">
        <f t="shared" si="46"/>
        <v>0.3714104394732658</v>
      </c>
      <c r="AM136">
        <v>309</v>
      </c>
      <c r="AN136">
        <v>600</v>
      </c>
      <c r="AO136">
        <v>51.5</v>
      </c>
      <c r="AP136" s="11">
        <f t="shared" si="47"/>
        <v>-3.1103442805013444</v>
      </c>
    </row>
    <row r="137" spans="1:42" ht="19" x14ac:dyDescent="0.25">
      <c r="C137" s="1"/>
    </row>
    <row r="144" spans="1:42" x14ac:dyDescent="0.2">
      <c r="A144" t="s">
        <v>32</v>
      </c>
      <c r="B144" t="s">
        <v>33</v>
      </c>
    </row>
    <row r="145" spans="2:2" x14ac:dyDescent="0.2">
      <c r="B145" t="s">
        <v>34</v>
      </c>
    </row>
    <row r="146" spans="2:2" x14ac:dyDescent="0.2">
      <c r="B146" t="s">
        <v>35</v>
      </c>
    </row>
  </sheetData>
  <mergeCells count="84">
    <mergeCell ref="AM26:AP26"/>
    <mergeCell ref="AI26:AL26"/>
    <mergeCell ref="AM50:AP50"/>
    <mergeCell ref="AI50:AL50"/>
    <mergeCell ref="AM74:AP74"/>
    <mergeCell ref="AI74:AL74"/>
    <mergeCell ref="AI96:AL96"/>
    <mergeCell ref="AM119:AP119"/>
    <mergeCell ref="AI119:AL119"/>
    <mergeCell ref="A118:O118"/>
    <mergeCell ref="Q118:AE118"/>
    <mergeCell ref="B119:C119"/>
    <mergeCell ref="D119:E119"/>
    <mergeCell ref="F119:G119"/>
    <mergeCell ref="H119:I119"/>
    <mergeCell ref="J119:K119"/>
    <mergeCell ref="R119:S119"/>
    <mergeCell ref="T119:U119"/>
    <mergeCell ref="V119:W119"/>
    <mergeCell ref="X119:Y119"/>
    <mergeCell ref="Z119:AA119"/>
    <mergeCell ref="A95:O95"/>
    <mergeCell ref="Q95:AE95"/>
    <mergeCell ref="B96:C96"/>
    <mergeCell ref="D96:E96"/>
    <mergeCell ref="F96:G96"/>
    <mergeCell ref="H96:I96"/>
    <mergeCell ref="J96:K96"/>
    <mergeCell ref="R96:S96"/>
    <mergeCell ref="T96:U96"/>
    <mergeCell ref="V96:W96"/>
    <mergeCell ref="X96:Y96"/>
    <mergeCell ref="Z96:AA96"/>
    <mergeCell ref="R74:S74"/>
    <mergeCell ref="T74:U74"/>
    <mergeCell ref="V74:W74"/>
    <mergeCell ref="X74:Y74"/>
    <mergeCell ref="Z74:AA74"/>
    <mergeCell ref="B74:C74"/>
    <mergeCell ref="D74:E74"/>
    <mergeCell ref="F74:G74"/>
    <mergeCell ref="H74:I74"/>
    <mergeCell ref="J74:K74"/>
    <mergeCell ref="T50:U50"/>
    <mergeCell ref="V50:W50"/>
    <mergeCell ref="X50:Y50"/>
    <mergeCell ref="Z50:AA50"/>
    <mergeCell ref="A73:O73"/>
    <mergeCell ref="Q73:AE73"/>
    <mergeCell ref="R26:S26"/>
    <mergeCell ref="A22:M22"/>
    <mergeCell ref="B50:C50"/>
    <mergeCell ref="D50:E50"/>
    <mergeCell ref="F50:G50"/>
    <mergeCell ref="H50:I50"/>
    <mergeCell ref="J50:K50"/>
    <mergeCell ref="B26:C26"/>
    <mergeCell ref="D26:E26"/>
    <mergeCell ref="F26:G26"/>
    <mergeCell ref="H26:I26"/>
    <mergeCell ref="J26:K26"/>
    <mergeCell ref="R50:S50"/>
    <mergeCell ref="A49:O49"/>
    <mergeCell ref="Q49:AE49"/>
    <mergeCell ref="B3:C3"/>
    <mergeCell ref="D3:E3"/>
    <mergeCell ref="F3:G3"/>
    <mergeCell ref="H3:I3"/>
    <mergeCell ref="R3:S3"/>
    <mergeCell ref="T3:U3"/>
    <mergeCell ref="V3:W3"/>
    <mergeCell ref="X3:Y3"/>
    <mergeCell ref="J3:K3"/>
    <mergeCell ref="Z3:AA3"/>
    <mergeCell ref="T26:U26"/>
    <mergeCell ref="V26:W26"/>
    <mergeCell ref="X26:Y26"/>
    <mergeCell ref="Z26:AA26"/>
    <mergeCell ref="AM3:AP3"/>
    <mergeCell ref="AI3:AL3"/>
    <mergeCell ref="A2:O2"/>
    <mergeCell ref="Q2:AE2"/>
    <mergeCell ref="A25:O25"/>
    <mergeCell ref="Q25:A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Cesana</dc:creator>
  <cp:lastModifiedBy>Camilla Cesana</cp:lastModifiedBy>
  <dcterms:created xsi:type="dcterms:W3CDTF">2025-08-01T23:26:26Z</dcterms:created>
  <dcterms:modified xsi:type="dcterms:W3CDTF">2025-09-12T18:47:20Z</dcterms:modified>
</cp:coreProperties>
</file>